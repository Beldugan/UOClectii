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uni" sheetId="1" state="visible" r:id="rId3"/>
    <sheet name="Date" sheetId="2" state="visible" r:id="rId4"/>
    <sheet name="Admisie" sheetId="3" state="visible" r:id="rId5"/>
    <sheet name="Comprimare" sheetId="4" state="visible" r:id="rId6"/>
    <sheet name="Ardere" sheetId="5" state="visible" r:id="rId7"/>
    <sheet name="Destindere" sheetId="6" state="visible" r:id="rId8"/>
    <sheet name="Performante" sheetId="7" state="visible" r:id="rId9"/>
    <sheet name="Diagrama" sheetId="8" state="visible" r:id="rId10"/>
    <sheet name="Caracteristica" sheetId="9" state="visible" r:id="rId11"/>
    <sheet name="Verificari" sheetId="10" state="visible" r:id="rId12"/>
    <sheet name="Amestecuri" sheetId="11" state="visible" r:id="rId13"/>
    <sheet name="Tabele" sheetId="12" state="visible" r:id="rId14"/>
  </sheets>
  <definedNames>
    <definedName function="false" hidden="false" name="alfa" vbProcedure="false">Date!$C$22</definedName>
    <definedName function="false" hidden="false" name="a_1" vbProcedure="false">Comprimare!$E$5</definedName>
    <definedName function="false" hidden="false" name="a_2" vbProcedure="false">Destindere!$E$5</definedName>
    <definedName function="false" hidden="false" name="a_CO2" vbProcedure="false">Admisie!$E$22</definedName>
    <definedName function="false" hidden="false" name="a_H2O" vbProcedure="false">Admisie!$E$23</definedName>
    <definedName function="false" hidden="false" name="a_N2" vbProcedure="false">Admisie!$E$25</definedName>
    <definedName function="false" hidden="false" name="a_O2" vbProcedure="false">Admisie!$E$24</definedName>
    <definedName function="false" hidden="false" name="beta" vbProcedure="false">Date!$C$30</definedName>
    <definedName function="false" hidden="false" name="b_1" vbProcedure="false">Comprimare!$E$6</definedName>
    <definedName function="false" hidden="false" name="b_2" vbProcedure="false">Destindere!$E$6</definedName>
    <definedName function="false" hidden="false" name="chk_n1" vbProcedure="false">Comprimare!$E$18</definedName>
    <definedName function="false" hidden="false" name="c_e" vbProcedure="false">Performante!$E$12</definedName>
    <definedName function="false" hidden="false" name="c_eP" vbProcedure="false">Caracteristica!$B$9</definedName>
    <definedName function="false" hidden="false" name="c_f" vbProcedure="false">Date!$C$10</definedName>
    <definedName function="false" hidden="false" name="C_h" vbProcedure="false">Performante!$E$13</definedName>
    <definedName function="false" hidden="false" name="c_i" vbProcedure="false">Performante!$E$8</definedName>
    <definedName function="false" hidden="false" name="delta" vbProcedure="false">Destindere!$E$7</definedName>
    <definedName function="false" hidden="false" name="dP_e" vbProcedure="false">Performante!$E$29</definedName>
    <definedName function="false" hidden="false" name="dsa" vbProcedure="false">Date!$C$32</definedName>
    <definedName function="false" hidden="false" name="dse" vbProcedure="false">Date!$C$34</definedName>
    <definedName function="false" hidden="false" name="dT" vbProcedure="false">Date!$C$18</definedName>
    <definedName function="false" hidden="false" name="dT_a" vbProcedure="false">Admisie!$E$32</definedName>
    <definedName function="false" hidden="false" name="dT_r" vbProcedure="false">Destindere!$E$22</definedName>
    <definedName function="false" hidden="false" name="D_cil" vbProcedure="false">Performante!$E$18</definedName>
    <definedName function="false" hidden="false" name="D_r" vbProcedure="false">Performante!$E$26</definedName>
    <definedName function="false" hidden="false" name="eps" vbProcedure="false">Date!$C$23</definedName>
    <definedName function="false" hidden="false" name="eta_e" vbProcedure="false">Performante!$E$11</definedName>
    <definedName function="false" hidden="false" name="eta_i" vbProcedure="false">Performante!$E$7</definedName>
    <definedName function="false" hidden="false" name="eta_m" vbProcedure="false">Date!$C$27</definedName>
    <definedName function="false" hidden="false" name="eta_v" vbProcedure="false">Admisie!$E$34</definedName>
    <definedName function="false" hidden="false" name="g_CO2" vbProcedure="false">Admisie!$E$9</definedName>
    <definedName function="false" hidden="false" name="g_H2O" vbProcedure="false">Admisie!$E$10</definedName>
    <definedName function="false" hidden="false" name="g_N2" vbProcedure="false">Admisie!$E$12</definedName>
    <definedName function="false" hidden="false" name="g_O2" vbProcedure="false">Admisie!$E$11</definedName>
    <definedName function="false" hidden="false" name="g_p" vbProcedure="false">Ardere!$E$11</definedName>
    <definedName function="false" hidden="false" name="g_r" vbProcedure="false">Date!$C$21</definedName>
    <definedName function="false" hidden="false" name="g_v" vbProcedure="false">Ardere!$E$10</definedName>
    <definedName function="false" hidden="false" name="h_f" vbProcedure="false">Date!$C$11</definedName>
    <definedName function="false" hidden="false" name="isa" vbProcedure="false">Date!$C$33</definedName>
    <definedName function="false" hidden="false" name="ise" vbProcedure="false">Date!$C$35</definedName>
    <definedName function="false" hidden="false" name="I_a" vbProcedure="false">Admisie!$E$30</definedName>
    <definedName function="false" hidden="false" name="i_cil" vbProcedure="false">Date!$C$8</definedName>
    <definedName function="false" hidden="false" name="I_y" vbProcedure="false">Ardere!$E$31</definedName>
    <definedName function="false" hidden="false" name="I_z" vbProcedure="false">Ardere!$E$32</definedName>
    <definedName function="false" hidden="false" name="k_a" vbProcedure="false">Caracteristica!$B$3</definedName>
    <definedName function="false" hidden="false" name="k_b" vbProcedure="false">Caracteristica!$B$4</definedName>
    <definedName function="false" hidden="false" name="k_c" vbProcedure="false">Caracteristica!$B$5</definedName>
    <definedName function="false" hidden="false" name="k_cons" vbProcedure="false">Caracteristica!$B$6</definedName>
    <definedName function="false" hidden="false" name="lam" vbProcedure="false">Date!$C$28</definedName>
    <definedName function="false" hidden="false" name="lam_p" vbProcedure="false">Ardere!$E$29</definedName>
    <definedName function="false" hidden="false" name="L_a" vbProcedure="false">Admisie!$E$7</definedName>
    <definedName function="false" hidden="false" name="L_b" vbProcedure="false">Performante!$E$21</definedName>
    <definedName function="false" hidden="false" name="L_t" vbProcedure="false">Admisie!$E$6</definedName>
    <definedName function="false" hidden="false" name="mu_0" vbProcedure="false">Admisie!$E$14</definedName>
    <definedName function="false" hidden="false" name="mu_r" vbProcedure="false">Ardere!$E$24</definedName>
    <definedName function="false" hidden="false" name="M_1" vbProcedure="false">Admisie!$E$8</definedName>
    <definedName function="false" hidden="false" name="M_2" vbProcedure="false">Admisie!$E$13</definedName>
    <definedName function="false" hidden="false" name="M_a" vbProcedure="false">Admisie!$E$26</definedName>
    <definedName function="false" hidden="false" name="M_c" vbProcedure="false">Date!$C$14</definedName>
    <definedName function="false" hidden="false" name="M_P" vbProcedure="false">Performante!$E$15</definedName>
    <definedName function="false" hidden="false" name="M_r" vbProcedure="false">Admisie!$E$16</definedName>
    <definedName function="false" hidden="false" name="M_y" vbProcedure="false">Ardere!$E$17</definedName>
    <definedName function="false" hidden="false" name="M_z" vbProcedure="false">Ardere!$E$23</definedName>
    <definedName function="false" hidden="false" name="n1_0" vbProcedure="false">Comprimare!$E$8</definedName>
    <definedName function="false" hidden="false" name="n1_1" vbProcedure="false">Comprimare!$E$9</definedName>
    <definedName function="false" hidden="false" name="n1_2" vbProcedure="false">Comprimare!$E$10</definedName>
    <definedName function="false" hidden="false" name="n1_3" vbProcedure="false">Comprimare!$E$11</definedName>
    <definedName function="false" hidden="false" name="n1_4" vbProcedure="false">Comprimare!$E$12</definedName>
    <definedName function="false" hidden="false" name="n1_5" vbProcedure="false">Comprimare!$E$13</definedName>
    <definedName function="false" hidden="false" name="n1_6" vbProcedure="false">Comprimare!$E$14</definedName>
    <definedName function="false" hidden="false" name="n1_7" vbProcedure="false">Comprimare!$E$15</definedName>
    <definedName function="false" hidden="false" name="n1_8" vbProcedure="false">Comprimare!$E$16</definedName>
    <definedName function="false" hidden="false" name="n2_0" vbProcedure="false">Destindere!$E$9</definedName>
    <definedName function="false" hidden="false" name="n2_1" vbProcedure="false">Destindere!$E$10</definedName>
    <definedName function="false" hidden="false" name="n2_2" vbProcedure="false">Destindere!$E$11</definedName>
    <definedName function="false" hidden="false" name="n2_3" vbProcedure="false">Destindere!$E$12</definedName>
    <definedName function="false" hidden="false" name="n2_4" vbProcedure="false">Destindere!$E$13</definedName>
    <definedName function="false" hidden="false" name="n2_5" vbProcedure="false">Destindere!$E$14</definedName>
    <definedName function="false" hidden="false" name="n2_6" vbProcedure="false">Destindere!$E$15</definedName>
    <definedName function="false" hidden="false" name="n2_7" vbProcedure="false">Destindere!$E$16</definedName>
    <definedName function="false" hidden="false" name="n2_8" vbProcedure="false">Destindere!$E$17</definedName>
    <definedName function="false" hidden="false" name="n_1" vbProcedure="false">Comprimare!$E$17</definedName>
    <definedName function="false" hidden="false" name="n_2" vbProcedure="false">Destindere!$E$18</definedName>
    <definedName function="false" hidden="false" name="n_max" vbProcedure="false">Caracteristica!$B$8</definedName>
    <definedName function="false" hidden="false" name="n_min" vbProcedure="false">Caracteristica!$B$7</definedName>
    <definedName function="false" hidden="false" name="n_P" vbProcedure="false">Date!$C$7</definedName>
    <definedName function="false" hidden="false" name="o_f" vbProcedure="false">Date!$C$12</definedName>
    <definedName function="false" hidden="false" name="O_t" vbProcedure="false">Admisie!$E$5</definedName>
    <definedName function="false" hidden="false" name="phi_r" vbProcedure="false">Date!$C$26</definedName>
    <definedName function="false" hidden="false" name="psi" vbProcedure="false">Date!$C$29</definedName>
    <definedName function="false" hidden="false" name="p_a" vbProcedure="false">Admisie!$E$33</definedName>
    <definedName function="false" hidden="false" name="p_b" vbProcedure="false">Destindere!$E$19</definedName>
    <definedName function="false" hidden="false" name="p_c" vbProcedure="false">Comprimare!$E$20</definedName>
    <definedName function="false" hidden="false" name="p_e" vbProcedure="false">Performante!$E$10</definedName>
    <definedName function="false" hidden="false" name="P_e_r" vbProcedure="false">Performante!$E$28</definedName>
    <definedName function="false" hidden="false" name="p_i" vbProcedure="false">Performante!$E$6</definedName>
    <definedName function="false" hidden="false" name="P_ind" vbProcedure="false">Performante!$E$14</definedName>
    <definedName function="false" hidden="false" name="p_inj" vbProcedure="false">Ardere!$E$6</definedName>
    <definedName function="false" hidden="false" name="p_it" vbProcedure="false">Performante!$E$5</definedName>
    <definedName function="false" hidden="false" name="P_l" vbProcedure="false">Performante!$E$24</definedName>
    <definedName function="false" hidden="false" name="p_max" vbProcedure="false">Ardere!$E$36</definedName>
    <definedName function="false" hidden="false" name="P_nom" vbProcedure="false">Date!$C$6</definedName>
    <definedName function="false" hidden="false" name="p_r" vbProcedure="false">Date!$C$20</definedName>
    <definedName function="false" hidden="false" name="p_s" vbProcedure="false">Date!$C$15</definedName>
    <definedName function="false" hidden="false" name="p_y" vbProcedure="false">Ardere!$E$28</definedName>
    <definedName function="false" hidden="false" name="p_z" vbProcedure="false">Ardere!$E$34</definedName>
    <definedName function="false" hidden="false" name="Q_i" vbProcedure="false">Date!$C$13</definedName>
    <definedName function="false" hidden="false" name="rho" vbProcedure="false">Ardere!$E$35</definedName>
    <definedName function="false" hidden="false" name="r_CO2" vbProcedure="false">Admisie!$E$17</definedName>
    <definedName function="false" hidden="false" name="r_H2O" vbProcedure="false">Admisie!$E$18</definedName>
    <definedName function="false" hidden="false" name="R_man" vbProcedure="false">Performante!$E$20</definedName>
    <definedName function="false" hidden="false" name="r_N2" vbProcedure="false">Admisie!$E$20</definedName>
    <definedName function="false" hidden="false" name="r_O2" vbProcedure="false">Admisie!$E$19</definedName>
    <definedName function="false" hidden="false" name="R_u" vbProcedure="false">Date!$C$36</definedName>
    <definedName function="false" hidden="false" name="S_cil" vbProcedure="false">Performante!$E$19</definedName>
    <definedName function="false" hidden="false" name="S_r" vbProcedure="false">Performante!$E$27</definedName>
    <definedName function="false" hidden="false" name="tau" vbProcedure="false">Date!$C$9</definedName>
    <definedName function="false" hidden="false" name="tau_aa" vbProcedure="false">Ardere!$E$8</definedName>
    <definedName function="false" hidden="false" name="th_aa" vbProcedure="false">Ardere!$E$9</definedName>
    <definedName function="false" hidden="false" name="th_inj" vbProcedure="false">Date!$C$31</definedName>
    <definedName function="false" hidden="false" name="tip" vbProcedure="false">Date!$C$5</definedName>
    <definedName function="false" hidden="false" name="T_a" vbProcedure="false">Admisie!$E$29</definedName>
    <definedName function="false" hidden="false" name="T_a_h" vbProcedure="false">Admisie!$E$31</definedName>
    <definedName function="false" hidden="false" name="T_b" vbProcedure="false">Destindere!$E$20</definedName>
    <definedName function="false" hidden="false" name="T_c" vbProcedure="false">Comprimare!$E$21</definedName>
    <definedName function="false" hidden="false" name="T_in" vbProcedure="false">Admisie!$E$28</definedName>
    <definedName function="false" hidden="false" name="T_inj" vbProcedure="false">Ardere!$E$7</definedName>
    <definedName function="false" hidden="false" name="T_r" vbProcedure="false">Date!$C$19</definedName>
    <definedName function="false" hidden="false" name="T_r_c" vbProcedure="false">Destindere!$E$21</definedName>
    <definedName function="false" hidden="false" name="T_s" vbProcedure="false">Date!$C$16</definedName>
    <definedName function="false" hidden="false" name="T_y" vbProcedure="false">Ardere!$E$27</definedName>
    <definedName function="false" hidden="false" name="T_z" vbProcedure="false">Ardere!$E$33</definedName>
    <definedName function="false" hidden="false" name="U_c" vbProcedure="false">Comprimare!$E$22</definedName>
    <definedName function="false" hidden="false" name="U_y" vbProcedure="false">Ardere!$E$26</definedName>
    <definedName function="false" hidden="false" name="V_a" vbProcedure="false">Diagrama!$D$2</definedName>
    <definedName function="false" hidden="false" name="V_c" vbProcedure="false">Diagrama!$B$2</definedName>
    <definedName function="false" hidden="false" name="V_h" vbProcedure="false">Performante!$E$17</definedName>
    <definedName function="false" hidden="false" name="v_inj" vbProcedure="false">Ardere!$E$5</definedName>
    <definedName function="false" hidden="false" name="V_t" vbProcedure="false">Performante!$E$22</definedName>
    <definedName function="false" hidden="false" name="V_z" vbProcedure="false">Diagrama!$F$2</definedName>
    <definedName function="false" hidden="false" name="W_m" vbProcedure="false">Performante!$E$23</definedName>
    <definedName function="false" hidden="false" name="xi_a" vbProcedure="false">Date!$C$17</definedName>
    <definedName function="false" hidden="false" name="xi_p" vbProcedure="false">Date!$C$25</definedName>
    <definedName function="false" hidden="false" name="xi_v" vbProcedure="false">Date!$C$24</definedName>
    <definedName function="false" hidden="false" name="y_CO2" vbProcedure="false">Ardere!$E$13</definedName>
    <definedName function="false" hidden="false" name="y_H2O" vbProcedure="false">Ardere!$E$14</definedName>
    <definedName function="false" hidden="false" name="y_N2" vbProcedure="false">Ardere!$E$16</definedName>
    <definedName function="false" hidden="false" name="y_O2" vbProcedure="false">Ardere!$E$15</definedName>
    <definedName function="false" hidden="false" name="z_CO2" vbProcedure="false">Ardere!$E$19</definedName>
    <definedName function="false" hidden="false" name="z_H2O" vbProcedure="false">Ardere!$E$20</definedName>
    <definedName function="false" hidden="false" name="z_N2" vbProcedure="false">Ardere!$E$22</definedName>
    <definedName function="false" hidden="false" name="z_O2" vbProcedure="false">Ardere!$E$21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Alegeți MAS sau MAC. La MAS arderea este izocoră (g_v = 1), la MAC mixtă.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6" authorId="0">
      <text>
        <r>
          <rPr>
            <sz val="10"/>
            <rFont val="Arial"/>
            <family val="2"/>
          </rPr>
          <t xml:space="preserve">Implicit: rotunjire la 0,5 mm. Puteți scrie valoarea aleasă.</t>
        </r>
      </text>
    </comment>
    <comment ref="E27" authorId="0">
      <text>
        <r>
          <rPr>
            <sz val="10"/>
            <rFont val="Arial"/>
            <family val="2"/>
          </rPr>
          <t xml:space="preserve">Implicit: rotunjire la 0,5 mm. Puteți scrie valoarea aleasă.</t>
        </r>
      </text>
    </comment>
  </commentList>
</comments>
</file>

<file path=xl/sharedStrings.xml><?xml version="1.0" encoding="utf-8"?>
<sst xmlns="http://schemas.openxmlformats.org/spreadsheetml/2006/main" count="725" uniqueCount="519">
  <si>
    <t xml:space="preserve">Calculul termic al motorului cu ardere internă – foaie de calcul pentru proiectul PCMAI (MM3104)</t>
  </si>
  <si>
    <t xml:space="preserve">Însoțește „Procese și caracteristici ale motoarelor cu ardere internă – Îndrumar de proiect” (A.-M. Beldugan, UOC, 2026). Metoda: calcul la 1 kg de combustibil, bilanț energetic cu u și i reale (foaia Tabele), interpolare liniară.</t>
  </si>
  <si>
    <t xml:space="preserve">Cum se folosește:</t>
  </si>
  <si>
    <t xml:space="preserve">1. În foaia Date, alegeți tipul motorului (MAS sau MAC) și completați coloana C „Valoare de calcul” – celulele galbene cu text albastru. Coloanele D și E conțin exemplele rezolvate din îndrumar (cap. 10 și 11), pentru control.</t>
  </si>
  <si>
    <t xml:space="preserve">2. Foile Admisie, Comprimare, Ardere, Destindere și Performante calculează automat toate mărimile, în ordinea etapelor proiectului. Nu modificați formulele (text negru).</t>
  </si>
  <si>
    <t xml:space="preserve">3. Foaia Verificari arată abaterile T_a, T_r și încadrarea în valorile uzuale; dacă ΔT_r &gt; 5 %, se scrie în Date valoarea T_r′ calculată și se recalculează.</t>
  </si>
  <si>
    <t xml:space="preserve">4. Foaia Diagrama conține tabelul p–V și p–α al ciclului de calcul (din 5 în 5 °RAC) și graficele; rotunjirea diagramei se face conform cap. 8 din îndrumar.</t>
  </si>
  <si>
    <t xml:space="preserve">5. Foaia Caracteristica conține caracteristica exterioară de turație (relațiile Leiderman) și graficul.</t>
  </si>
  <si>
    <t xml:space="preserve">6. Foaia Tabele conține energia internă u și entalpia i [kJ/kmol] pentru CO₂, H₂O, O₂, N₂ (polinoame NASA, GRI-Mech 3.0; originea la 0 K). Foaia Amestecuri calculează u și i ale amestecurilor pe aceeași grilă, pentru interpolarea inversă.</t>
  </si>
  <si>
    <t xml:space="preserve">Convenții de culoare: celule galbene cu text albastru = date de intrare; text negru = formule; text verde = valori preluate din altă foaie.</t>
  </si>
  <si>
    <t xml:space="preserve">Unități: presiuni în MPa, temperaturi în K, energii în kJ (pentru 1 kg de combustibil), volume în cm³ la diagrama indicată.</t>
  </si>
  <si>
    <t xml:space="preserve">Rezolvarea ecuațiilor pentru n₁ și n₂ se face prin iterații de punct fix (8 iterații), vizibile în foile Comprimare și Destindere.</t>
  </si>
  <si>
    <t xml:space="preserve">Coeficienții a, b se obțin prin regresie pe grila tabelelor (din 50 în 50 K); față de îndrumar pot apărea diferențe în ultima zecimală (sub 0,1 %).</t>
  </si>
  <si>
    <t xml:space="preserve">Date de proiectare și parametri inițiali</t>
  </si>
  <si>
    <t xml:space="preserve">Completați coloana C (celule galbene). Coloanele D–E: exemplele din îndrumar (cap. 10 – MAS, cap. 11 – MAC). Intervalele recomandate sunt în Tabelul 1.1 din îndrumar.</t>
  </si>
  <si>
    <t xml:space="preserve">Mărime</t>
  </si>
  <si>
    <t xml:space="preserve">Simbol</t>
  </si>
  <si>
    <t xml:space="preserve">Valoare de calcul</t>
  </si>
  <si>
    <t xml:space="preserve">Exemplu MAS (cap. 10)</t>
  </si>
  <si>
    <t xml:space="preserve">Exemplu MAC (cap. 11)</t>
  </si>
  <si>
    <t xml:space="preserve">Unitate</t>
  </si>
  <si>
    <t xml:space="preserve">Nume în formule</t>
  </si>
  <si>
    <t xml:space="preserve">Tipul motorului (MAS sau MAC)</t>
  </si>
  <si>
    <t xml:space="preserve">tip</t>
  </si>
  <si>
    <t xml:space="preserve">MAS</t>
  </si>
  <si>
    <t xml:space="preserve">MAC</t>
  </si>
  <si>
    <t xml:space="preserve">–</t>
  </si>
  <si>
    <t xml:space="preserve">Puterea efectivă nominală</t>
  </si>
  <si>
    <t xml:space="preserve">Pe</t>
  </si>
  <si>
    <t xml:space="preserve">kW</t>
  </si>
  <si>
    <t xml:space="preserve">P_nom</t>
  </si>
  <si>
    <t xml:space="preserve">Turația de putere nominală</t>
  </si>
  <si>
    <t xml:space="preserve">n_P</t>
  </si>
  <si>
    <t xml:space="preserve">rot/min</t>
  </si>
  <si>
    <t xml:space="preserve">Numărul de cilindri</t>
  </si>
  <si>
    <t xml:space="preserve">i</t>
  </si>
  <si>
    <t xml:space="preserve">i_cil</t>
  </si>
  <si>
    <t xml:space="preserve">Numărul de timpi</t>
  </si>
  <si>
    <t xml:space="preserve">τ</t>
  </si>
  <si>
    <t xml:space="preserve">tau</t>
  </si>
  <si>
    <t xml:space="preserve">Fracția masică de carbon</t>
  </si>
  <si>
    <t xml:space="preserve">c</t>
  </si>
  <si>
    <t xml:space="preserve">c_f</t>
  </si>
  <si>
    <t xml:space="preserve">Fracția masică de hidrogen</t>
  </si>
  <si>
    <t xml:space="preserve">h</t>
  </si>
  <si>
    <t xml:space="preserve">h_f</t>
  </si>
  <si>
    <t xml:space="preserve">Fracția masică de oxigen</t>
  </si>
  <si>
    <t xml:space="preserve">o</t>
  </si>
  <si>
    <t xml:space="preserve">o_f</t>
  </si>
  <si>
    <t xml:space="preserve">Puterea calorifică inferioară</t>
  </si>
  <si>
    <t xml:space="preserve">Q_i</t>
  </si>
  <si>
    <t xml:space="preserve">kJ/kg</t>
  </si>
  <si>
    <t xml:space="preserve">Masa molară a combustibilului (vapori, numai MAS)</t>
  </si>
  <si>
    <t xml:space="preserve">M_c</t>
  </si>
  <si>
    <t xml:space="preserve">kg/kmol</t>
  </si>
  <si>
    <t xml:space="preserve">Presiunea de admisie în motor (p_0 sau p_s)</t>
  </si>
  <si>
    <t xml:space="preserve">p_s</t>
  </si>
  <si>
    <t xml:space="preserve">MPa</t>
  </si>
  <si>
    <t xml:space="preserve">Temperatura de admisie în motor (T_0 sau T_s)</t>
  </si>
  <si>
    <t xml:space="preserve">T_s</t>
  </si>
  <si>
    <t xml:space="preserve">K</t>
  </si>
  <si>
    <t xml:space="preserve">Coeficientul de scădere a presiunii la admisie</t>
  </si>
  <si>
    <t xml:space="preserve">ξ_a</t>
  </si>
  <si>
    <t xml:space="preserve">xi_a</t>
  </si>
  <si>
    <t xml:space="preserve">Încălzirea încărcăturii</t>
  </si>
  <si>
    <t xml:space="preserve">ΔT</t>
  </si>
  <si>
    <t xml:space="preserve">dT</t>
  </si>
  <si>
    <t xml:space="preserve">Temperatura gazelor arse reziduale</t>
  </si>
  <si>
    <t xml:space="preserve">T_r</t>
  </si>
  <si>
    <t xml:space="preserve">Presiunea gazelor reziduale (evacuare)</t>
  </si>
  <si>
    <t xml:space="preserve">p_r</t>
  </si>
  <si>
    <t xml:space="preserve">Coeficientul gazelor arse reziduale</t>
  </si>
  <si>
    <t xml:space="preserve">γ_r</t>
  </si>
  <si>
    <t xml:space="preserve">g_r</t>
  </si>
  <si>
    <t xml:space="preserve">Coeficientul de exces de aer (≥ 1)</t>
  </si>
  <si>
    <t xml:space="preserve">α</t>
  </si>
  <si>
    <t xml:space="preserve">alfa</t>
  </si>
  <si>
    <t xml:space="preserve">Raportul de comprimare</t>
  </si>
  <si>
    <t xml:space="preserve">ε</t>
  </si>
  <si>
    <t xml:space="preserve">eps</t>
  </si>
  <si>
    <t xml:space="preserve">Coef. de utilizare a căldurii – izocor (MAS: ξ)</t>
  </si>
  <si>
    <t xml:space="preserve">ξ_v</t>
  </si>
  <si>
    <t xml:space="preserve">xi_v</t>
  </si>
  <si>
    <t xml:space="preserve">Coef. de utilizare a căldurii – izobar (numai MAC)</t>
  </si>
  <si>
    <t xml:space="preserve">ξ_p</t>
  </si>
  <si>
    <t xml:space="preserve">xi_p</t>
  </si>
  <si>
    <t xml:space="preserve">Coeficientul de rotunjire a diagramei</t>
  </si>
  <si>
    <t xml:space="preserve">φ_r</t>
  </si>
  <si>
    <t xml:space="preserve">phi_r</t>
  </si>
  <si>
    <t xml:space="preserve">Randamentul mecanic</t>
  </si>
  <si>
    <t xml:space="preserve">η_m</t>
  </si>
  <si>
    <t xml:space="preserve">eta_m</t>
  </si>
  <si>
    <t xml:space="preserve">Raportul rază manivelă / lungime bielă</t>
  </si>
  <si>
    <t xml:space="preserve">λ</t>
  </si>
  <si>
    <t xml:space="preserve">lam</t>
  </si>
  <si>
    <t xml:space="preserve">Raportul cursă / alezaj</t>
  </si>
  <si>
    <t xml:space="preserve">ψ</t>
  </si>
  <si>
    <t xml:space="preserve">psi</t>
  </si>
  <si>
    <t xml:space="preserve">Avans la aprindere (MAS) / început injecție (MAC)</t>
  </si>
  <si>
    <t xml:space="preserve">β</t>
  </si>
  <si>
    <t xml:space="preserve">°RAC</t>
  </si>
  <si>
    <t xml:space="preserve">beta</t>
  </si>
  <si>
    <t xml:space="preserve">Durata injecției (numai MAC)</t>
  </si>
  <si>
    <t xml:space="preserve">θ_inj</t>
  </si>
  <si>
    <t xml:space="preserve">th_inj</t>
  </si>
  <si>
    <t xml:space="preserve">Deschiderea supapei de admisie înainte de PMI</t>
  </si>
  <si>
    <t xml:space="preserve">dsa</t>
  </si>
  <si>
    <t xml:space="preserve">Închiderea supapei de admisie după PME</t>
  </si>
  <si>
    <t xml:space="preserve">îsa</t>
  </si>
  <si>
    <t xml:space="preserve">isa</t>
  </si>
  <si>
    <t xml:space="preserve">Deschiderea supapei de evacuare înainte de PME</t>
  </si>
  <si>
    <t xml:space="preserve">dse</t>
  </si>
  <si>
    <t xml:space="preserve">Închiderea supapei de evacuare după PMI</t>
  </si>
  <si>
    <t xml:space="preserve">îse</t>
  </si>
  <si>
    <t xml:space="preserve">ise</t>
  </si>
  <si>
    <t xml:space="preserve">Constanta universală a gazelor</t>
  </si>
  <si>
    <t xml:space="preserve">R</t>
  </si>
  <si>
    <t xml:space="preserve">kJ/(kmol·K)</t>
  </si>
  <si>
    <t xml:space="preserve">R_u</t>
  </si>
  <si>
    <t xml:space="preserve">Surse: valorile exemplelor sunt cele din îndrumar; la tema proprie se folosesc datele temei și valorile alese din Tabelul 1.1.</t>
  </si>
  <si>
    <t xml:space="preserve">Admisie</t>
  </si>
  <si>
    <t xml:space="preserve">Nr.</t>
  </si>
  <si>
    <t xml:space="preserve">Relație</t>
  </si>
  <si>
    <t xml:space="preserve">Valoare</t>
  </si>
  <si>
    <t xml:space="preserve">Aerul necesar și produsele arderii (1 kg combustibil)</t>
  </si>
  <si>
    <t xml:space="preserve">Oxigenul teoretic</t>
  </si>
  <si>
    <t xml:space="preserve">O_t</t>
  </si>
  <si>
    <t xml:space="preserve">c/12 + h/4 − o/32</t>
  </si>
  <si>
    <t xml:space="preserve">kmol/kg</t>
  </si>
  <si>
    <t xml:space="preserve">Aerul teoretic</t>
  </si>
  <si>
    <t xml:space="preserve">L_t</t>
  </si>
  <si>
    <t xml:space="preserve">O_t/0,21</t>
  </si>
  <si>
    <t xml:space="preserve">Aerul real</t>
  </si>
  <si>
    <t xml:space="preserve">L</t>
  </si>
  <si>
    <t xml:space="preserve">α·L_t</t>
  </si>
  <si>
    <t xml:space="preserve">Încărcătura proaspătă</t>
  </si>
  <si>
    <t xml:space="preserve">M_1</t>
  </si>
  <si>
    <t xml:space="preserve">L (+ 1/M_c la MAS)</t>
  </si>
  <si>
    <t xml:space="preserve">CO₂ din ardere</t>
  </si>
  <si>
    <t xml:space="preserve">ν_CO2</t>
  </si>
  <si>
    <t xml:space="preserve">c/12</t>
  </si>
  <si>
    <t xml:space="preserve">H₂O din ardere</t>
  </si>
  <si>
    <t xml:space="preserve">ν_H2O</t>
  </si>
  <si>
    <t xml:space="preserve">h/2</t>
  </si>
  <si>
    <t xml:space="preserve">O₂ rămas</t>
  </si>
  <si>
    <t xml:space="preserve">ν_O2</t>
  </si>
  <si>
    <t xml:space="preserve">0,21·(α−1)·L_t</t>
  </si>
  <si>
    <t xml:space="preserve">N₂</t>
  </si>
  <si>
    <t xml:space="preserve">ν_N2</t>
  </si>
  <si>
    <t xml:space="preserve">0,79·L</t>
  </si>
  <si>
    <t xml:space="preserve">Produsele arderii</t>
  </si>
  <si>
    <t xml:space="preserve">M_2</t>
  </si>
  <si>
    <t xml:space="preserve">Σ ν_j</t>
  </si>
  <si>
    <t xml:space="preserve">Coeficientul chimic de variație</t>
  </si>
  <si>
    <t xml:space="preserve">μ_0</t>
  </si>
  <si>
    <t xml:space="preserve">M_2/M_1</t>
  </si>
  <si>
    <t xml:space="preserve">Gazele arse reziduale</t>
  </si>
  <si>
    <t xml:space="preserve">Gaze reziduale</t>
  </si>
  <si>
    <t xml:space="preserve">M_r</t>
  </si>
  <si>
    <t xml:space="preserve">γ_r·M_1</t>
  </si>
  <si>
    <t xml:space="preserve">CO₂ rezidual</t>
  </si>
  <si>
    <t xml:space="preserve">ν_rCO2</t>
  </si>
  <si>
    <t xml:space="preserve">M_r·ν_CO2/M_2</t>
  </si>
  <si>
    <t xml:space="preserve">H₂O rezidual</t>
  </si>
  <si>
    <t xml:space="preserve">ν_rH2O</t>
  </si>
  <si>
    <t xml:space="preserve">M_r·ν_H2O/M_2</t>
  </si>
  <si>
    <t xml:space="preserve">O₂ rezidual</t>
  </si>
  <si>
    <t xml:space="preserve">ν_rO2</t>
  </si>
  <si>
    <t xml:space="preserve">M_r·ν_O2/M_2</t>
  </si>
  <si>
    <t xml:space="preserve">N₂ rezidual</t>
  </si>
  <si>
    <t xml:space="preserve">ν_rN2</t>
  </si>
  <si>
    <t xml:space="preserve">M_r·ν_N2/M_2</t>
  </si>
  <si>
    <t xml:space="preserve">Compoziția amestecului la sfârșitul admisiei (vaporii de benzină socotiți ca aer)</t>
  </si>
  <si>
    <t xml:space="preserve">CO₂</t>
  </si>
  <si>
    <t xml:space="preserve">ν_aCO2</t>
  </si>
  <si>
    <t xml:space="preserve">H₂O</t>
  </si>
  <si>
    <t xml:space="preserve">ν_aH2O</t>
  </si>
  <si>
    <t xml:space="preserve">O₂</t>
  </si>
  <si>
    <t xml:space="preserve">ν_aO2</t>
  </si>
  <si>
    <t xml:space="preserve">0,21·M_1 + ν_rO2</t>
  </si>
  <si>
    <t xml:space="preserve">ν_aN2</t>
  </si>
  <si>
    <t xml:space="preserve">0,79·M_1 + ν_rN2</t>
  </si>
  <si>
    <t xml:space="preserve">Total</t>
  </si>
  <si>
    <t xml:space="preserve">M_a</t>
  </si>
  <si>
    <t xml:space="preserve">M_1 + M_r</t>
  </si>
  <si>
    <t xml:space="preserve">Temperatura, presiunea și coeficientul de umplere</t>
  </si>
  <si>
    <t xml:space="preserve">Temperatura încărcăturii la intrare</t>
  </si>
  <si>
    <t xml:space="preserve">T_s+ΔT</t>
  </si>
  <si>
    <t xml:space="preserve">T_s + ΔT</t>
  </si>
  <si>
    <t xml:space="preserve">Temperatura la sfârșitul admisiei</t>
  </si>
  <si>
    <t xml:space="preserve">T_a</t>
  </si>
  <si>
    <t xml:space="preserve">(T_s+ΔT+γ_r·T_r)/(1+γ_r)</t>
  </si>
  <si>
    <t xml:space="preserve">Entalpia încărcăturii (bilanț)</t>
  </si>
  <si>
    <t xml:space="preserve">I_a</t>
  </si>
  <si>
    <t xml:space="preserve">M_1·i_aer(T_s+ΔT) + Σ ν_rj·i_j(T_r)</t>
  </si>
  <si>
    <t xml:space="preserve">kJ</t>
  </si>
  <si>
    <t xml:space="preserve">Temperatura din bilanțul entalpiilor</t>
  </si>
  <si>
    <t xml:space="preserve">T_a′</t>
  </si>
  <si>
    <t xml:space="preserve">interpolare în Amestecuri (I_a)</t>
  </si>
  <si>
    <t xml:space="preserve">Abaterea T_a</t>
  </si>
  <si>
    <t xml:space="preserve">ΔT_a</t>
  </si>
  <si>
    <t xml:space="preserve">|T_a′−T_a|/T_a·100 (&lt; 2 %)</t>
  </si>
  <si>
    <t xml:space="preserve">%</t>
  </si>
  <si>
    <t xml:space="preserve">Presiunea la sfârșitul admisiei</t>
  </si>
  <si>
    <t xml:space="preserve">p_a</t>
  </si>
  <si>
    <t xml:space="preserve">ξ_a·p_s</t>
  </si>
  <si>
    <t xml:space="preserve">Coeficientul de umplere</t>
  </si>
  <si>
    <t xml:space="preserve">η_v</t>
  </si>
  <si>
    <t xml:space="preserve">ε/(ε−1)·p_a/p_s·T_s/(T_a·(1+γ_r))</t>
  </si>
  <si>
    <t xml:space="preserve">Comprimare</t>
  </si>
  <si>
    <t xml:space="preserve">Căldura specifică molară medie a amestecului: C_v = a + b·T (regresie 300…1000 K, foaia Amestecuri)</t>
  </si>
  <si>
    <t xml:space="preserve">Coeficientul a</t>
  </si>
  <si>
    <t xml:space="preserve">a</t>
  </si>
  <si>
    <t xml:space="preserve">INTERCEPT(cv_a; T), 300…1000 K</t>
  </si>
  <si>
    <t xml:space="preserve">Coeficientul b</t>
  </si>
  <si>
    <t xml:space="preserve">b</t>
  </si>
  <si>
    <t xml:space="preserve">SLOPE(cv_a; T), 300…1000 K</t>
  </si>
  <si>
    <t xml:space="preserve">kJ/(kmol·K²)</t>
  </si>
  <si>
    <t xml:space="preserve">Exponentul politropic: n₁ = 1 + R/(a + b·T_a·(ε^(n₁−1)+1)) – iterații de punct fix</t>
  </si>
  <si>
    <t xml:space="preserve">Valoare inițială</t>
  </si>
  <si>
    <t xml:space="preserve">n₁⁽⁰⁾</t>
  </si>
  <si>
    <t xml:space="preserve">1,37</t>
  </si>
  <si>
    <t xml:space="preserve">Iterația 1</t>
  </si>
  <si>
    <t xml:space="preserve">n₁⁽1⁾</t>
  </si>
  <si>
    <t xml:space="preserve">1 + R/(a + b·T_a·(ε^(n−1)+1))</t>
  </si>
  <si>
    <t xml:space="preserve">Iterația 2</t>
  </si>
  <si>
    <t xml:space="preserve">n₁⁽2⁾</t>
  </si>
  <si>
    <t xml:space="preserve">Iterația 3</t>
  </si>
  <si>
    <t xml:space="preserve">n₁⁽3⁾</t>
  </si>
  <si>
    <t xml:space="preserve">Iterația 4</t>
  </si>
  <si>
    <t xml:space="preserve">n₁⁽4⁾</t>
  </si>
  <si>
    <t xml:space="preserve">Iterația 5</t>
  </si>
  <si>
    <t xml:space="preserve">n₁⁽5⁾</t>
  </si>
  <si>
    <t xml:space="preserve">Iterația 6</t>
  </si>
  <si>
    <t xml:space="preserve">n₁⁽6⁾</t>
  </si>
  <si>
    <t xml:space="preserve">Iterația 7</t>
  </si>
  <si>
    <t xml:space="preserve">n₁⁽7⁾</t>
  </si>
  <si>
    <t xml:space="preserve">Iterația 8</t>
  </si>
  <si>
    <t xml:space="preserve">n₁⁽8⁾</t>
  </si>
  <si>
    <t xml:space="preserve">Exponentul politropic al comprimării</t>
  </si>
  <si>
    <t xml:space="preserve">n₁</t>
  </si>
  <si>
    <t xml:space="preserve">n₁⁽⁸⁾</t>
  </si>
  <si>
    <t xml:space="preserve">Verificare: diferența membrilor</t>
  </si>
  <si>
    <t xml:space="preserve">Δ</t>
  </si>
  <si>
    <t xml:space="preserve">R/(n₁−1) − a − b·T_a·(ε^(n₁−1)+1)</t>
  </si>
  <si>
    <t xml:space="preserve">Sfârșitul comprimării</t>
  </si>
  <si>
    <t xml:space="preserve">Presiunea</t>
  </si>
  <si>
    <t xml:space="preserve">p_c</t>
  </si>
  <si>
    <t xml:space="preserve">p_a·ε^n₁</t>
  </si>
  <si>
    <t xml:space="preserve">Temperatura</t>
  </si>
  <si>
    <t xml:space="preserve">T_c</t>
  </si>
  <si>
    <t xml:space="preserve">T_a·ε^(n₁−1)</t>
  </si>
  <si>
    <t xml:space="preserve">Energia internă a amestecului</t>
  </si>
  <si>
    <t xml:space="preserve">U_c</t>
  </si>
  <si>
    <t xml:space="preserve">Σ ν_aj·u_j(T_c)</t>
  </si>
  <si>
    <t xml:space="preserve">Ardere</t>
  </si>
  <si>
    <t xml:space="preserve">MAC: întârzierea la autoaprindere și fracțiunea arsă izocor (la MAS g_v = 1)</t>
  </si>
  <si>
    <t xml:space="preserve">Volumul la începutul injecției, raportat la V_c</t>
  </si>
  <si>
    <t xml:space="preserve">V_inj/V_c</t>
  </si>
  <si>
    <t xml:space="preserve">1+(ε−1)/2·[(1−cos β)+λ/4·(1−cos 2β)]</t>
  </si>
  <si>
    <t xml:space="preserve">Presiunea la începutul injecției</t>
  </si>
  <si>
    <t xml:space="preserve">p_inj</t>
  </si>
  <si>
    <t xml:space="preserve">p_a·(ε/(V_inj/V_c))^n₁</t>
  </si>
  <si>
    <t xml:space="preserve">Temperatura la începutul injecției</t>
  </si>
  <si>
    <t xml:space="preserve">T_inj</t>
  </si>
  <si>
    <t xml:space="preserve">T_a·(ε/(V_inj/V_c))^(n₁−1)</t>
  </si>
  <si>
    <t xml:space="preserve">Întârzierea la autoaprindere (Wolfer)</t>
  </si>
  <si>
    <t xml:space="preserve">τ_aa</t>
  </si>
  <si>
    <t xml:space="preserve">0,44·p^−1,19·e^(4650/T), p în bar</t>
  </si>
  <si>
    <t xml:space="preserve">ms</t>
  </si>
  <si>
    <t xml:space="preserve">Unghiul de întârziere</t>
  </si>
  <si>
    <t xml:space="preserve">θ_aa</t>
  </si>
  <si>
    <t xml:space="preserve">6·n·τ_aa·10⁻³</t>
  </si>
  <si>
    <t xml:space="preserve">Fracțiunea arsă izocor</t>
  </si>
  <si>
    <t xml:space="preserve">g_v</t>
  </si>
  <si>
    <t xml:space="preserve">MAS: 1; MAC: min(θ_aa/θ_inj; 1)</t>
  </si>
  <si>
    <t xml:space="preserve">Fracțiunea arsă izobar</t>
  </si>
  <si>
    <t xml:space="preserve">g_p</t>
  </si>
  <si>
    <t xml:space="preserve">1 − g_v</t>
  </si>
  <si>
    <t xml:space="preserve">Compoziția după arderea izocoră (punctul y)</t>
  </si>
  <si>
    <t xml:space="preserve">ν_yCO2</t>
  </si>
  <si>
    <t xml:space="preserve">g_v·c/12 + ν_rCO2</t>
  </si>
  <si>
    <t xml:space="preserve">ν_yH2O</t>
  </si>
  <si>
    <t xml:space="preserve">g_v·h/2 + ν_rH2O</t>
  </si>
  <si>
    <t xml:space="preserve">ν_yO2</t>
  </si>
  <si>
    <t xml:space="preserve">0,21·L − g_v·O_t + ν_rO2</t>
  </si>
  <si>
    <t xml:space="preserve">ν_yN2</t>
  </si>
  <si>
    <t xml:space="preserve">0,79·L + ν_rN2</t>
  </si>
  <si>
    <t xml:space="preserve">M_y</t>
  </si>
  <si>
    <t xml:space="preserve">Σ ν_yj</t>
  </si>
  <si>
    <t xml:space="preserve">Compoziția la sfârșitul arderii (punctul z = produse + reziduale)</t>
  </si>
  <si>
    <t xml:space="preserve">ν_zCO2</t>
  </si>
  <si>
    <t xml:space="preserve">ν_CO2 + ν_rCO2</t>
  </si>
  <si>
    <t xml:space="preserve">ν_zH2O</t>
  </si>
  <si>
    <t xml:space="preserve">ν_H2O + ν_rH2O</t>
  </si>
  <si>
    <t xml:space="preserve">ν_zO2</t>
  </si>
  <si>
    <t xml:space="preserve">ν_O2 + ν_rO2</t>
  </si>
  <si>
    <t xml:space="preserve">ν_zN2</t>
  </si>
  <si>
    <t xml:space="preserve">ν_N2 + ν_rN2</t>
  </si>
  <si>
    <t xml:space="preserve">M_z</t>
  </si>
  <si>
    <t xml:space="preserve">M_2 + M_r</t>
  </si>
  <si>
    <t xml:space="preserve">Coeficientul real de variație</t>
  </si>
  <si>
    <t xml:space="preserve">μ</t>
  </si>
  <si>
    <t xml:space="preserve">M_z/(M_1+M_r)</t>
  </si>
  <si>
    <t xml:space="preserve">Arderea izocoră (MAS: toată arderea)</t>
  </si>
  <si>
    <t xml:space="preserve">Energia internă în y</t>
  </si>
  <si>
    <t xml:space="preserve">U_y</t>
  </si>
  <si>
    <t xml:space="preserve">U_c + g_v·ξ_v·Q_i</t>
  </si>
  <si>
    <t xml:space="preserve">Temperatura în y</t>
  </si>
  <si>
    <t xml:space="preserve">T_y</t>
  </si>
  <si>
    <t xml:space="preserve">interpolare inversă (Amestecuri)</t>
  </si>
  <si>
    <t xml:space="preserve">Presiunea în y</t>
  </si>
  <si>
    <t xml:space="preserve">p_y</t>
  </si>
  <si>
    <t xml:space="preserve">p_c·M_y/(M_1+M_r)·T_y/T_c</t>
  </si>
  <si>
    <t xml:space="preserve">Raportul de creștere a presiunii</t>
  </si>
  <si>
    <t xml:space="preserve">λ_p</t>
  </si>
  <si>
    <t xml:space="preserve">p_y/p_c</t>
  </si>
  <si>
    <t xml:space="preserve">Arderea izobară (numai MAC; la MAS g_p = 0 și T_z = T_y)</t>
  </si>
  <si>
    <t xml:space="preserve">Entalpia în y</t>
  </si>
  <si>
    <t xml:space="preserve">I_y</t>
  </si>
  <si>
    <t xml:space="preserve">Σ ν_yj·i_j(T_y)</t>
  </si>
  <si>
    <t xml:space="preserve">Entalpia în z</t>
  </si>
  <si>
    <t xml:space="preserve">I_z</t>
  </si>
  <si>
    <t xml:space="preserve">I_y + g_p·ξ_p·Q_i</t>
  </si>
  <si>
    <t xml:space="preserve">Temperatura maximă a ciclului</t>
  </si>
  <si>
    <t xml:space="preserve">T_z</t>
  </si>
  <si>
    <t xml:space="preserve">MAS: T_y; MAC: interpolare inversă (Amestecuri)</t>
  </si>
  <si>
    <t xml:space="preserve">Presiunea maximă a ciclului de calcul</t>
  </si>
  <si>
    <t xml:space="preserve">p_z</t>
  </si>
  <si>
    <t xml:space="preserve">p_z = p_y</t>
  </si>
  <si>
    <t xml:space="preserve">Raportul de destindere prealabilă</t>
  </si>
  <si>
    <t xml:space="preserve">ρ</t>
  </si>
  <si>
    <t xml:space="preserve">M_z·T_z/(M_y·T_y)</t>
  </si>
  <si>
    <t xml:space="preserve">Presiunea maximă estimată a diagramei rotunjite</t>
  </si>
  <si>
    <t xml:space="preserve">p_max</t>
  </si>
  <si>
    <t xml:space="preserve">MAS: 0,85·p_z; MAC: p_z</t>
  </si>
  <si>
    <t xml:space="preserve">Destindere</t>
  </si>
  <si>
    <t xml:space="preserve">Căldura specifică medie a produselor: C_v = a′ + b′·T (regresie 900…2800 K)</t>
  </si>
  <si>
    <t xml:space="preserve">Coeficientul a′</t>
  </si>
  <si>
    <t xml:space="preserve">a′</t>
  </si>
  <si>
    <t xml:space="preserve">INTERCEPT(cv_z; T)</t>
  </si>
  <si>
    <t xml:space="preserve">Coeficientul b′</t>
  </si>
  <si>
    <t xml:space="preserve">b′</t>
  </si>
  <si>
    <t xml:space="preserve">SLOPE(cv_z; T)</t>
  </si>
  <si>
    <t xml:space="preserve">Raportul de destindere</t>
  </si>
  <si>
    <t xml:space="preserve">δ</t>
  </si>
  <si>
    <t xml:space="preserve">ε/ρ</t>
  </si>
  <si>
    <t xml:space="preserve">Exponentul politropic: n₂ = 1 + R/(a′ + b′·T_z·(1 + δ^(1−n₂))) – iterații de punct fix</t>
  </si>
  <si>
    <t xml:space="preserve">n₂⁽⁰⁾</t>
  </si>
  <si>
    <t xml:space="preserve">1,26</t>
  </si>
  <si>
    <t xml:space="preserve">n₂⁽1⁾</t>
  </si>
  <si>
    <t xml:space="preserve">1 + R/(a′ + b′·T_z·(1+δ^(1−n)))</t>
  </si>
  <si>
    <t xml:space="preserve">n₂⁽2⁾</t>
  </si>
  <si>
    <t xml:space="preserve">n₂⁽3⁾</t>
  </si>
  <si>
    <t xml:space="preserve">n₂⁽4⁾</t>
  </si>
  <si>
    <t xml:space="preserve">n₂⁽5⁾</t>
  </si>
  <si>
    <t xml:space="preserve">n₂⁽6⁾</t>
  </si>
  <si>
    <t xml:space="preserve">n₂⁽7⁾</t>
  </si>
  <si>
    <t xml:space="preserve">n₂⁽8⁾</t>
  </si>
  <si>
    <t xml:space="preserve">Exponentul politropic al destinderii</t>
  </si>
  <si>
    <t xml:space="preserve">n₂</t>
  </si>
  <si>
    <t xml:space="preserve">n₂⁽⁸⁾</t>
  </si>
  <si>
    <t xml:space="preserve">Presiunea la sfârșitul destinderii</t>
  </si>
  <si>
    <t xml:space="preserve">p_b</t>
  </si>
  <si>
    <t xml:space="preserve">p_z/δ^n₂</t>
  </si>
  <si>
    <t xml:space="preserve">Temperatura la sfârșitul destinderii</t>
  </si>
  <si>
    <t xml:space="preserve">T_b</t>
  </si>
  <si>
    <t xml:space="preserve">T_z/δ^(n₂−1)</t>
  </si>
  <si>
    <t xml:space="preserve">Temperatura gazelor reziduale (verificare)</t>
  </si>
  <si>
    <t xml:space="preserve">T_r′</t>
  </si>
  <si>
    <t xml:space="preserve">T_b/(p_b/p_r)^(1/3)</t>
  </si>
  <si>
    <t xml:space="preserve">Abaterea T_r</t>
  </si>
  <si>
    <t xml:space="preserve">ΔT_r</t>
  </si>
  <si>
    <t xml:space="preserve">|T_r′−T_r|/T_r·100 (≤ 5 %)</t>
  </si>
  <si>
    <t xml:space="preserve">Performante</t>
  </si>
  <si>
    <t xml:space="preserve">Parametri indicați</t>
  </si>
  <si>
    <t xml:space="preserve">Presiunea medie indicată a ciclului de calcul</t>
  </si>
  <si>
    <t xml:space="preserve">p_it</t>
  </si>
  <si>
    <t xml:space="preserve">p_c/(ε−1)·[λ_p(ρ−1)+λ_pρ/(n₂−1)(1−δ^(1−n₂))−1/(n₁−1)(1−ε^(1−n₁))]</t>
  </si>
  <si>
    <t xml:space="preserve">Presiunea medie indicată</t>
  </si>
  <si>
    <t xml:space="preserve">p_i</t>
  </si>
  <si>
    <t xml:space="preserve">φ_r·p_it − (p_r − p_a)</t>
  </si>
  <si>
    <t xml:space="preserve">Randamentul indicat</t>
  </si>
  <si>
    <t xml:space="preserve">η_i</t>
  </si>
  <si>
    <t xml:space="preserve">R·M_1·T_s·p_i/(p_s·η_v·Q_i)</t>
  </si>
  <si>
    <t xml:space="preserve">Consumul specific indicat</t>
  </si>
  <si>
    <t xml:space="preserve">c_i</t>
  </si>
  <si>
    <t xml:space="preserve">3,6·10⁶/(η_i·Q_i)</t>
  </si>
  <si>
    <t xml:space="preserve">g/kWh</t>
  </si>
  <si>
    <t xml:space="preserve">Parametri efectivi</t>
  </si>
  <si>
    <t xml:space="preserve">Presiunea medie efectivă</t>
  </si>
  <si>
    <t xml:space="preserve">p_e</t>
  </si>
  <si>
    <t xml:space="preserve">η_m·p_i</t>
  </si>
  <si>
    <t xml:space="preserve">Randamentul efectiv</t>
  </si>
  <si>
    <t xml:space="preserve">η_e</t>
  </si>
  <si>
    <t xml:space="preserve">η_m·η_i</t>
  </si>
  <si>
    <t xml:space="preserve">Consumul specific efectiv</t>
  </si>
  <si>
    <t xml:space="preserve">c_e</t>
  </si>
  <si>
    <t xml:space="preserve">c_i/η_m</t>
  </si>
  <si>
    <t xml:space="preserve">Consumul orar</t>
  </si>
  <si>
    <t xml:space="preserve">C_h</t>
  </si>
  <si>
    <t xml:space="preserve">c_e·P_e/1000</t>
  </si>
  <si>
    <t xml:space="preserve">kg/h</t>
  </si>
  <si>
    <t xml:space="preserve">Puterea indicată</t>
  </si>
  <si>
    <t xml:space="preserve">P_i</t>
  </si>
  <si>
    <t xml:space="preserve">P_e/η_m</t>
  </si>
  <si>
    <t xml:space="preserve">Cuplul la puterea nominală</t>
  </si>
  <si>
    <t xml:space="preserve">M_P</t>
  </si>
  <si>
    <t xml:space="preserve">9549·P_e/n_P</t>
  </si>
  <si>
    <t xml:space="preserve">N·m</t>
  </si>
  <si>
    <t xml:space="preserve">Parametri constructivi</t>
  </si>
  <si>
    <t xml:space="preserve">Cilindreea unitară</t>
  </si>
  <si>
    <t xml:space="preserve">V_h</t>
  </si>
  <si>
    <t xml:space="preserve">30·τ·P_e/(p_e·n·i)</t>
  </si>
  <si>
    <t xml:space="preserve">dm³</t>
  </si>
  <si>
    <t xml:space="preserve">Alezajul</t>
  </si>
  <si>
    <t xml:space="preserve">D</t>
  </si>
  <si>
    <t xml:space="preserve">(4·V_h·10⁶/(π·ψ))^(1/3)</t>
  </si>
  <si>
    <t xml:space="preserve">mm</t>
  </si>
  <si>
    <t xml:space="preserve">Cursa</t>
  </si>
  <si>
    <t xml:space="preserve">S</t>
  </si>
  <si>
    <t xml:space="preserve">ψ·D</t>
  </si>
  <si>
    <t xml:space="preserve">Raza manivelei</t>
  </si>
  <si>
    <t xml:space="preserve">S/2</t>
  </si>
  <si>
    <t xml:space="preserve">Lungimea bielei</t>
  </si>
  <si>
    <t xml:space="preserve">L_b</t>
  </si>
  <si>
    <t xml:space="preserve">R/λ</t>
  </si>
  <si>
    <t xml:space="preserve">Cilindreea totală</t>
  </si>
  <si>
    <t xml:space="preserve">V_t</t>
  </si>
  <si>
    <t xml:space="preserve">i·V_h</t>
  </si>
  <si>
    <t xml:space="preserve">Viteza medie a pistonului</t>
  </si>
  <si>
    <t xml:space="preserve">W_m</t>
  </si>
  <si>
    <t xml:space="preserve">S·n/30000</t>
  </si>
  <si>
    <t xml:space="preserve">m/s</t>
  </si>
  <si>
    <t xml:space="preserve">Puterea litrică</t>
  </si>
  <si>
    <t xml:space="preserve">P_l</t>
  </si>
  <si>
    <t xml:space="preserve">P_e/V_t</t>
  </si>
  <si>
    <t xml:space="preserve">kW/dm³</t>
  </si>
  <si>
    <t xml:space="preserve">Recalcul cu dimensiunile rotunjite (se completează D și S rotunjite)</t>
  </si>
  <si>
    <t xml:space="preserve">Alezaj rotunjit</t>
  </si>
  <si>
    <t xml:space="preserve">D_r</t>
  </si>
  <si>
    <t xml:space="preserve">valoare aleasă</t>
  </si>
  <si>
    <t xml:space="preserve">Cursă rotunjită</t>
  </si>
  <si>
    <t xml:space="preserve">S_r</t>
  </si>
  <si>
    <t xml:space="preserve">Puterea recalculată</t>
  </si>
  <si>
    <t xml:space="preserve">P_e′</t>
  </si>
  <si>
    <t xml:space="preserve">p_e·(π·D²/4)·S·i·n/(30·τ·10⁶)</t>
  </si>
  <si>
    <t xml:space="preserve">Abaterea puterii</t>
  </si>
  <si>
    <t xml:space="preserve">ΔP_e</t>
  </si>
  <si>
    <t xml:space="preserve">|P_e′−P_e|/P_e·100 (≤ 5 %)</t>
  </si>
  <si>
    <t xml:space="preserve">Diagrama indicată a ciclului de calcul (volume în cm³, presiuni în MPa)</t>
  </si>
  <si>
    <t xml:space="preserve">V_c =</t>
  </si>
  <si>
    <t xml:space="preserve">V_a =</t>
  </si>
  <si>
    <t xml:space="preserve">V_z =</t>
  </si>
  <si>
    <t xml:space="preserve">α [°RAC]</t>
  </si>
  <si>
    <t xml:space="preserve">V [cm³]</t>
  </si>
  <si>
    <t xml:space="preserve">p ciclu de calcul [MPa]</t>
  </si>
  <si>
    <t xml:space="preserve">Proces</t>
  </si>
  <si>
    <t xml:space="preserve">Caracteristica exterioară de turație (relațiile Leiderman)</t>
  </si>
  <si>
    <t xml:space="preserve">MAS: a = b = c = 1, A = B = 1,2; MAC cu injecție directă: 0,87; 1,13; 1; A = B = 1,55 (cameră divizată: 0,6; 1,4; 1; 1,35)</t>
  </si>
  <si>
    <t xml:space="preserve">Coeficientul c</t>
  </si>
  <si>
    <t xml:space="preserve">Coeficienții A = B (consum)</t>
  </si>
  <si>
    <t xml:space="preserve">Turația minimă [rot/min]</t>
  </si>
  <si>
    <t xml:space="preserve">Turația maximă [rot/min]</t>
  </si>
  <si>
    <t xml:space="preserve">Consumul specific la P_e [g/kWh]</t>
  </si>
  <si>
    <t xml:space="preserve">n [rot/min]</t>
  </si>
  <si>
    <t xml:space="preserve">x = n/n_P</t>
  </si>
  <si>
    <t xml:space="preserve">P_e [kW]</t>
  </si>
  <si>
    <t xml:space="preserve">M_e [N·m]</t>
  </si>
  <si>
    <t xml:space="preserve">c_e [g/kWh]</t>
  </si>
  <si>
    <t xml:space="preserve">C_h [kg/h]</t>
  </si>
  <si>
    <t xml:space="preserve">Cuplul maxim [N·m]</t>
  </si>
  <si>
    <t xml:space="preserve">la turația [rot/min]</t>
  </si>
  <si>
    <t xml:space="preserve">Coeficientul de elasticitate M_max/M_P</t>
  </si>
  <si>
    <t xml:space="preserve">Consumul specific minim [g/kWh]</t>
  </si>
  <si>
    <t xml:space="preserve">Verificări și încadrarea în valorile uzuale (regim nominal)</t>
  </si>
  <si>
    <t xml:space="preserve">Min MAS</t>
  </si>
  <si>
    <t xml:space="preserve">Max MAS</t>
  </si>
  <si>
    <t xml:space="preserve">Min MAC</t>
  </si>
  <si>
    <t xml:space="preserve">Max MAC</t>
  </si>
  <si>
    <t xml:space="preserve">Rezultat</t>
  </si>
  <si>
    <t xml:space="preserve">Abaterea T_a [%] (≤ 2)</t>
  </si>
  <si>
    <t xml:space="preserve">Abaterea T_r [%] (≤ 5)</t>
  </si>
  <si>
    <t xml:space="preserve">Abaterea puterii după rotunjire [%] (≤ 5)</t>
  </si>
  <si>
    <t xml:space="preserve">Coeficientul de umplere η_v</t>
  </si>
  <si>
    <t xml:space="preserve">Exponentul n₁</t>
  </si>
  <si>
    <t xml:space="preserve">p_c [MPa]</t>
  </si>
  <si>
    <t xml:space="preserve">T_c [K]</t>
  </si>
  <si>
    <t xml:space="preserve">T_z [K]</t>
  </si>
  <si>
    <t xml:space="preserve">p_z [MPa] (ciclul de calcul)</t>
  </si>
  <si>
    <t xml:space="preserve">Exponentul n₂</t>
  </si>
  <si>
    <t xml:space="preserve">p_b [MPa]</t>
  </si>
  <si>
    <t xml:space="preserve">T_b [K]</t>
  </si>
  <si>
    <t xml:space="preserve">p_e [MPa]</t>
  </si>
  <si>
    <t xml:space="preserve">W_m [m/s]</t>
  </si>
  <si>
    <t xml:space="preserve">Valorile-limită sunt orientative (Tabelele 1.1, 6.1 și capitolele 3–5 din îndrumar); o valoare „verificați” trebuie justificată sau corectată prin parametrii inițiali.</t>
  </si>
  <si>
    <t xml:space="preserve">Energia internă și entalpia amestecurilor [kJ, pentru 1 kg combustibil] pe grila tabelelor; rândul 3: temperaturile obținute prin interpolare inversă</t>
  </si>
  <si>
    <t xml:space="preserve">Temperaturi:</t>
  </si>
  <si>
    <t xml:space="preserve">T_a′ (din I_a)</t>
  </si>
  <si>
    <t xml:space="preserve">T_y (din U_y)</t>
  </si>
  <si>
    <t xml:space="preserve">T_z (din I_z)</t>
  </si>
  <si>
    <t xml:space="preserve">→</t>
  </si>
  <si>
    <t xml:space="preserve">T [K]</t>
  </si>
  <si>
    <t xml:space="preserve">I_a (admisie)</t>
  </si>
  <si>
    <t xml:space="preserve">U_a (comprimare)</t>
  </si>
  <si>
    <t xml:space="preserve">U_y (după arderea izocoră)</t>
  </si>
  <si>
    <t xml:space="preserve">I_z (după arderea izobară)</t>
  </si>
  <si>
    <t xml:space="preserve">U_z</t>
  </si>
  <si>
    <t xml:space="preserve">cv_a = U_a/(M_a·T)</t>
  </si>
  <si>
    <t xml:space="preserve">cv_z = U_z/(M_z·T)</t>
  </si>
  <si>
    <t xml:space="preserve">Energia internă u și entalpia i molare [kJ/kmol], originea la 0 K (polinoame NASA – GRI-Mech 3.0; H(298)−H(0) din tabelele JANAF). Grilă din 50 în 50 K.</t>
  </si>
  <si>
    <t xml:space="preserve">u CO₂</t>
  </si>
  <si>
    <t xml:space="preserve">u H₂O</t>
  </si>
  <si>
    <t xml:space="preserve">u O₂</t>
  </si>
  <si>
    <t xml:space="preserve">u N₂</t>
  </si>
  <si>
    <t xml:space="preserve">i CO₂</t>
  </si>
  <si>
    <t xml:space="preserve">i H₂O</t>
  </si>
  <si>
    <t xml:space="preserve">i O₂</t>
  </si>
  <si>
    <t xml:space="preserve">i N₂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</si>
</sst>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0"/>
    <numFmt numFmtId="166" formatCode="0.0"/>
    <numFmt numFmtId="167" formatCode="0.00"/>
    <numFmt numFmtId="168" formatCode="0.000000"/>
    <numFmt numFmtId="169" formatCode="0.00E+00"/>
    <numFmt numFmtId="170" formatCode="0.000"/>
    <numFmt numFmtId="171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6EAF8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D6EA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p–V (ciclul de calcul)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"p–V"</c:f>
              <c:strCache>
                <c:ptCount val="1"/>
                <c:pt idx="0">
                  <c:v>p–V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Diagrama!$B$5:$B$149</c:f>
              <c:numCache>
                <c:formatCode>0.00</c:formatCode>
                <c:ptCount val="145"/>
                <c:pt idx="0">
                  <c:v>41.9769106882715</c:v>
                </c:pt>
                <c:pt idx="1">
                  <c:v>42.8455064357373</c:v>
                </c:pt>
                <c:pt idx="2">
                  <c:v>45.4403624145108</c:v>
                </c:pt>
                <c:pt idx="3">
                  <c:v>49.7288993102951</c:v>
                </c:pt>
                <c:pt idx="4">
                  <c:v>55.6575275665798</c:v>
                </c:pt>
                <c:pt idx="5">
                  <c:v>63.1526918251723</c:v>
                </c:pt>
                <c:pt idx="6">
                  <c:v>72.1222947074628</c:v>
                </c:pt>
                <c:pt idx="7">
                  <c:v>82.457462848975</c:v>
                </c:pt>
                <c:pt idx="8">
                  <c:v>94.0346093835461</c:v>
                </c:pt>
                <c:pt idx="9">
                  <c:v>106.717739689196</c:v>
                </c:pt>
                <c:pt idx="10">
                  <c:v>120.360941367413</c:v>
                </c:pt>
                <c:pt idx="11">
                  <c:v>134.810995296832</c:v>
                </c:pt>
                <c:pt idx="12">
                  <c:v>149.91004229549</c:v>
                </c:pt>
                <c:pt idx="13">
                  <c:v>165.498239502612</c:v>
                </c:pt>
                <c:pt idx="14">
                  <c:v>181.416342054493</c:v>
                </c:pt>
                <c:pt idx="15">
                  <c:v>197.508148926203</c:v>
                </c:pt>
                <c:pt idx="16">
                  <c:v>213.622756833591</c:v>
                </c:pt>
                <c:pt idx="17">
                  <c:v>229.61657267897</c:v>
                </c:pt>
                <c:pt idx="18">
                  <c:v>245.355042972947</c:v>
                </c:pt>
                <c:pt idx="19">
                  <c:v>260.714067727922</c:v>
                </c:pt>
                <c:pt idx="20">
                  <c:v>275.58107621699</c:v>
                </c:pt>
                <c:pt idx="21">
                  <c:v>289.855752422087</c:v>
                </c:pt>
                <c:pt idx="22">
                  <c:v>303.45040863925</c:v>
                </c:pt>
                <c:pt idx="23">
                  <c:v>316.290016243348</c:v>
                </c:pt>
                <c:pt idx="24">
                  <c:v>328.311912720644</c:v>
                </c:pt>
                <c:pt idx="25">
                  <c:v>339.465213450474</c:v>
                </c:pt>
                <c:pt idx="26">
                  <c:v>349.709965075798</c:v>
                </c:pt>
                <c:pt idx="27">
                  <c:v>359.016084397176</c:v>
                </c:pt>
                <c:pt idx="28">
                  <c:v>367.362132345988</c:v>
                </c:pt>
                <c:pt idx="29">
                  <c:v>374.733976576464</c:v>
                </c:pt>
                <c:pt idx="30">
                  <c:v>381.123398449149</c:v>
                </c:pt>
                <c:pt idx="31">
                  <c:v>386.526700601613</c:v>
                </c:pt>
                <c:pt idx="32">
                  <c:v>390.943369912422</c:v>
                </c:pt>
                <c:pt idx="33">
                  <c:v>394.374847514159</c:v>
                </c:pt>
                <c:pt idx="34">
                  <c:v>396.823452707653</c:v>
                </c:pt>
                <c:pt idx="35">
                  <c:v>398.291501330115</c:v>
                </c:pt>
                <c:pt idx="36">
                  <c:v>398.780651538579</c:v>
                </c:pt>
                <c:pt idx="37">
                  <c:v>398.291501330115</c:v>
                </c:pt>
                <c:pt idx="38">
                  <c:v>396.823452707653</c:v>
                </c:pt>
                <c:pt idx="39">
                  <c:v>394.374847514159</c:v>
                </c:pt>
                <c:pt idx="40">
                  <c:v>390.943369912422</c:v>
                </c:pt>
                <c:pt idx="41">
                  <c:v>386.526700601613</c:v>
                </c:pt>
                <c:pt idx="42">
                  <c:v>381.123398449149</c:v>
                </c:pt>
                <c:pt idx="43">
                  <c:v>374.733976576464</c:v>
                </c:pt>
                <c:pt idx="44">
                  <c:v>367.362132345988</c:v>
                </c:pt>
                <c:pt idx="45">
                  <c:v>359.016084397176</c:v>
                </c:pt>
                <c:pt idx="46">
                  <c:v>349.709965075798</c:v>
                </c:pt>
                <c:pt idx="47">
                  <c:v>339.465213450474</c:v>
                </c:pt>
                <c:pt idx="48">
                  <c:v>328.311912720644</c:v>
                </c:pt>
                <c:pt idx="49">
                  <c:v>316.290016243348</c:v>
                </c:pt>
                <c:pt idx="50">
                  <c:v>303.45040863925</c:v>
                </c:pt>
                <c:pt idx="51">
                  <c:v>289.855752422087</c:v>
                </c:pt>
                <c:pt idx="52">
                  <c:v>275.58107621699</c:v>
                </c:pt>
                <c:pt idx="53">
                  <c:v>260.714067727922</c:v>
                </c:pt>
                <c:pt idx="54">
                  <c:v>245.355042972947</c:v>
                </c:pt>
                <c:pt idx="55">
                  <c:v>229.61657267897</c:v>
                </c:pt>
                <c:pt idx="56">
                  <c:v>213.622756833591</c:v>
                </c:pt>
                <c:pt idx="57">
                  <c:v>197.508148926203</c:v>
                </c:pt>
                <c:pt idx="58">
                  <c:v>181.416342054493</c:v>
                </c:pt>
                <c:pt idx="59">
                  <c:v>165.498239502612</c:v>
                </c:pt>
                <c:pt idx="60">
                  <c:v>149.91004229549</c:v>
                </c:pt>
                <c:pt idx="61">
                  <c:v>134.810995296832</c:v>
                </c:pt>
                <c:pt idx="62">
                  <c:v>120.360941367413</c:v>
                </c:pt>
                <c:pt idx="63">
                  <c:v>106.717739689196</c:v>
                </c:pt>
                <c:pt idx="64">
                  <c:v>94.0346093835462</c:v>
                </c:pt>
                <c:pt idx="65">
                  <c:v>82.4574628489751</c:v>
                </c:pt>
                <c:pt idx="66">
                  <c:v>72.1222947074628</c:v>
                </c:pt>
                <c:pt idx="67">
                  <c:v>63.1526918251723</c:v>
                </c:pt>
                <c:pt idx="68">
                  <c:v>55.6575275665799</c:v>
                </c:pt>
                <c:pt idx="69">
                  <c:v>49.7288993102951</c:v>
                </c:pt>
                <c:pt idx="70">
                  <c:v>45.4403624145108</c:v>
                </c:pt>
                <c:pt idx="71">
                  <c:v>42.8455064357373</c:v>
                </c:pt>
                <c:pt idx="72">
                  <c:v>41.9769106882715</c:v>
                </c:pt>
                <c:pt idx="73">
                  <c:v>42.8455064357373</c:v>
                </c:pt>
                <c:pt idx="74">
                  <c:v>45.4403624145108</c:v>
                </c:pt>
                <c:pt idx="75">
                  <c:v>49.7288993102951</c:v>
                </c:pt>
                <c:pt idx="76">
                  <c:v>55.6575275665798</c:v>
                </c:pt>
                <c:pt idx="77">
                  <c:v>63.1526918251722</c:v>
                </c:pt>
                <c:pt idx="78">
                  <c:v>72.1222947074627</c:v>
                </c:pt>
                <c:pt idx="79">
                  <c:v>82.457462848975</c:v>
                </c:pt>
                <c:pt idx="80">
                  <c:v>94.0346093835461</c:v>
                </c:pt>
                <c:pt idx="81">
                  <c:v>106.717739689196</c:v>
                </c:pt>
                <c:pt idx="82">
                  <c:v>120.360941367413</c:v>
                </c:pt>
                <c:pt idx="83">
                  <c:v>134.810995296832</c:v>
                </c:pt>
                <c:pt idx="84">
                  <c:v>149.91004229549</c:v>
                </c:pt>
                <c:pt idx="85">
                  <c:v>165.498239502612</c:v>
                </c:pt>
                <c:pt idx="86">
                  <c:v>181.416342054493</c:v>
                </c:pt>
                <c:pt idx="87">
                  <c:v>197.508148926203</c:v>
                </c:pt>
                <c:pt idx="88">
                  <c:v>213.622756833591</c:v>
                </c:pt>
                <c:pt idx="89">
                  <c:v>229.61657267897</c:v>
                </c:pt>
                <c:pt idx="90">
                  <c:v>245.355042972947</c:v>
                </c:pt>
                <c:pt idx="91">
                  <c:v>260.714067727922</c:v>
                </c:pt>
                <c:pt idx="92">
                  <c:v>275.58107621699</c:v>
                </c:pt>
                <c:pt idx="93">
                  <c:v>289.855752422087</c:v>
                </c:pt>
                <c:pt idx="94">
                  <c:v>303.45040863925</c:v>
                </c:pt>
                <c:pt idx="95">
                  <c:v>316.290016243348</c:v>
                </c:pt>
                <c:pt idx="96">
                  <c:v>328.311912720643</c:v>
                </c:pt>
                <c:pt idx="97">
                  <c:v>339.465213450474</c:v>
                </c:pt>
                <c:pt idx="98">
                  <c:v>349.709965075798</c:v>
                </c:pt>
                <c:pt idx="99">
                  <c:v>359.016084397176</c:v>
                </c:pt>
                <c:pt idx="100">
                  <c:v>367.362132345988</c:v>
                </c:pt>
                <c:pt idx="101">
                  <c:v>374.733976576464</c:v>
                </c:pt>
                <c:pt idx="102">
                  <c:v>381.123398449149</c:v>
                </c:pt>
                <c:pt idx="103">
                  <c:v>386.526700601613</c:v>
                </c:pt>
                <c:pt idx="104">
                  <c:v>390.943369912422</c:v>
                </c:pt>
                <c:pt idx="105">
                  <c:v>394.374847514159</c:v>
                </c:pt>
                <c:pt idx="106">
                  <c:v>396.823452707653</c:v>
                </c:pt>
                <c:pt idx="107">
                  <c:v>398.291501330115</c:v>
                </c:pt>
                <c:pt idx="108">
                  <c:v>398.780651538579</c:v>
                </c:pt>
                <c:pt idx="109">
                  <c:v>398.291501330115</c:v>
                </c:pt>
                <c:pt idx="110">
                  <c:v>396.823452707653</c:v>
                </c:pt>
                <c:pt idx="111">
                  <c:v>394.374847514159</c:v>
                </c:pt>
                <c:pt idx="112">
                  <c:v>390.943369912422</c:v>
                </c:pt>
                <c:pt idx="113">
                  <c:v>386.526700601613</c:v>
                </c:pt>
                <c:pt idx="114">
                  <c:v>381.123398449149</c:v>
                </c:pt>
                <c:pt idx="115">
                  <c:v>374.733976576464</c:v>
                </c:pt>
                <c:pt idx="116">
                  <c:v>367.362132345988</c:v>
                </c:pt>
                <c:pt idx="117">
                  <c:v>359.016084397176</c:v>
                </c:pt>
                <c:pt idx="118">
                  <c:v>349.709965075798</c:v>
                </c:pt>
                <c:pt idx="119">
                  <c:v>339.465213450474</c:v>
                </c:pt>
                <c:pt idx="120">
                  <c:v>328.311912720644</c:v>
                </c:pt>
                <c:pt idx="121">
                  <c:v>316.290016243348</c:v>
                </c:pt>
                <c:pt idx="122">
                  <c:v>303.45040863925</c:v>
                </c:pt>
                <c:pt idx="123">
                  <c:v>289.855752422087</c:v>
                </c:pt>
                <c:pt idx="124">
                  <c:v>275.581076216991</c:v>
                </c:pt>
                <c:pt idx="125">
                  <c:v>260.714067727922</c:v>
                </c:pt>
                <c:pt idx="126">
                  <c:v>245.355042972947</c:v>
                </c:pt>
                <c:pt idx="127">
                  <c:v>229.616572678971</c:v>
                </c:pt>
                <c:pt idx="128">
                  <c:v>213.622756833591</c:v>
                </c:pt>
                <c:pt idx="129">
                  <c:v>197.508148926203</c:v>
                </c:pt>
                <c:pt idx="130">
                  <c:v>181.416342054493</c:v>
                </c:pt>
                <c:pt idx="131">
                  <c:v>165.498239502612</c:v>
                </c:pt>
                <c:pt idx="132">
                  <c:v>149.91004229549</c:v>
                </c:pt>
                <c:pt idx="133">
                  <c:v>134.810995296832</c:v>
                </c:pt>
                <c:pt idx="134">
                  <c:v>120.360941367413</c:v>
                </c:pt>
                <c:pt idx="135">
                  <c:v>106.717739689196</c:v>
                </c:pt>
                <c:pt idx="136">
                  <c:v>94.0346093835463</c:v>
                </c:pt>
                <c:pt idx="137">
                  <c:v>82.4574628489752</c:v>
                </c:pt>
                <c:pt idx="138">
                  <c:v>72.1222947074628</c:v>
                </c:pt>
                <c:pt idx="139">
                  <c:v>63.1526918251723</c:v>
                </c:pt>
                <c:pt idx="140">
                  <c:v>55.6575275665798</c:v>
                </c:pt>
                <c:pt idx="141">
                  <c:v>49.7288993102951</c:v>
                </c:pt>
                <c:pt idx="142">
                  <c:v>45.4403624145108</c:v>
                </c:pt>
                <c:pt idx="143">
                  <c:v>42.8455064357373</c:v>
                </c:pt>
                <c:pt idx="144">
                  <c:v>41.9769106882715</c:v>
                </c:pt>
              </c:numCache>
            </c:numRef>
          </c:xVal>
          <c:yVal>
            <c:numRef>
              <c:f>Diagrama!$C$5:$C$149</c:f>
              <c:numCache>
                <c:formatCode>0.000</c:formatCode>
                <c:ptCount val="145"/>
                <c:pt idx="0">
                  <c:v>0.086</c:v>
                </c:pt>
                <c:pt idx="1">
                  <c:v>0.086</c:v>
                </c:pt>
                <c:pt idx="2">
                  <c:v>0.086</c:v>
                </c:pt>
                <c:pt idx="3">
                  <c:v>0.086</c:v>
                </c:pt>
                <c:pt idx="4">
                  <c:v>0.086</c:v>
                </c:pt>
                <c:pt idx="5">
                  <c:v>0.086</c:v>
                </c:pt>
                <c:pt idx="6">
                  <c:v>0.086</c:v>
                </c:pt>
                <c:pt idx="7">
                  <c:v>0.086</c:v>
                </c:pt>
                <c:pt idx="8">
                  <c:v>0.086</c:v>
                </c:pt>
                <c:pt idx="9">
                  <c:v>0.086</c:v>
                </c:pt>
                <c:pt idx="10">
                  <c:v>0.086</c:v>
                </c:pt>
                <c:pt idx="11">
                  <c:v>0.086</c:v>
                </c:pt>
                <c:pt idx="12">
                  <c:v>0.086</c:v>
                </c:pt>
                <c:pt idx="13">
                  <c:v>0.086</c:v>
                </c:pt>
                <c:pt idx="14">
                  <c:v>0.086</c:v>
                </c:pt>
                <c:pt idx="15">
                  <c:v>0.086</c:v>
                </c:pt>
                <c:pt idx="16">
                  <c:v>0.086</c:v>
                </c:pt>
                <c:pt idx="17">
                  <c:v>0.086</c:v>
                </c:pt>
                <c:pt idx="18">
                  <c:v>0.086</c:v>
                </c:pt>
                <c:pt idx="19">
                  <c:v>0.086</c:v>
                </c:pt>
                <c:pt idx="20">
                  <c:v>0.086</c:v>
                </c:pt>
                <c:pt idx="21">
                  <c:v>0.086</c:v>
                </c:pt>
                <c:pt idx="22">
                  <c:v>0.086</c:v>
                </c:pt>
                <c:pt idx="23">
                  <c:v>0.086</c:v>
                </c:pt>
                <c:pt idx="24">
                  <c:v>0.086</c:v>
                </c:pt>
                <c:pt idx="25">
                  <c:v>0.086</c:v>
                </c:pt>
                <c:pt idx="26">
                  <c:v>0.086</c:v>
                </c:pt>
                <c:pt idx="27">
                  <c:v>0.086</c:v>
                </c:pt>
                <c:pt idx="28">
                  <c:v>0.086</c:v>
                </c:pt>
                <c:pt idx="29">
                  <c:v>0.086</c:v>
                </c:pt>
                <c:pt idx="30">
                  <c:v>0.086</c:v>
                </c:pt>
                <c:pt idx="31">
                  <c:v>0.086</c:v>
                </c:pt>
                <c:pt idx="32">
                  <c:v>0.086</c:v>
                </c:pt>
                <c:pt idx="33">
                  <c:v>0.086</c:v>
                </c:pt>
                <c:pt idx="34">
                  <c:v>0.086</c:v>
                </c:pt>
                <c:pt idx="35">
                  <c:v>0.086</c:v>
                </c:pt>
                <c:pt idx="36">
                  <c:v>0.086</c:v>
                </c:pt>
                <c:pt idx="37">
                  <c:v>0.0861448292001651</c:v>
                </c:pt>
                <c:pt idx="38">
                  <c:v>0.0865820366654073</c:v>
                </c:pt>
                <c:pt idx="39">
                  <c:v>0.0873198629438594</c:v>
                </c:pt>
                <c:pt idx="40">
                  <c:v>0.0883723168597282</c:v>
                </c:pt>
                <c:pt idx="41">
                  <c:v>0.0897596042500156</c:v>
                </c:pt>
                <c:pt idx="42">
                  <c:v>0.0915087630958309</c:v>
                </c:pt>
                <c:pt idx="43">
                  <c:v>0.0936545427806708</c:v>
                </c:pt>
                <c:pt idx="44">
                  <c:v>0.0962405803796888</c:v>
                </c:pt>
                <c:pt idx="45">
                  <c:v>0.0993209459854275</c:v>
                </c:pt>
                <c:pt idx="46">
                  <c:v>0.102962153759019</c:v>
                </c:pt>
                <c:pt idx="47">
                  <c:v>0.107245767891022</c:v>
                </c:pt>
                <c:pt idx="48">
                  <c:v>0.112271775987813</c:v>
                </c:pt>
                <c:pt idx="49">
                  <c:v>0.11816296067334</c:v>
                </c:pt>
                <c:pt idx="50">
                  <c:v>0.125070578955746</c:v>
                </c:pt>
                <c:pt idx="51">
                  <c:v>0.133181765547602</c:v>
                </c:pt>
                <c:pt idx="52">
                  <c:v>0.142729220470972</c:v>
                </c:pt>
                <c:pt idx="53">
                  <c:v>0.15400393488752</c:v>
                </c:pt>
                <c:pt idx="54">
                  <c:v>0.167371965713654</c:v>
                </c:pt>
                <c:pt idx="55">
                  <c:v>0.183296601333228</c:v>
                </c:pt>
                <c:pt idx="56">
                  <c:v>0.202367669987196</c:v>
                </c:pt>
                <c:pt idx="57">
                  <c:v>0.225340201551457</c:v>
                </c:pt>
                <c:pt idx="58">
                  <c:v>0.253185058364815</c:v>
                </c:pt>
                <c:pt idx="59">
                  <c:v>0.287154219579279</c:v>
                </c:pt>
                <c:pt idx="60">
                  <c:v>0.328862462054133</c:v>
                </c:pt>
                <c:pt idx="61">
                  <c:v>0.380383729536808</c:v>
                </c:pt>
                <c:pt idx="62">
                  <c:v>0.444351373871529</c:v>
                </c:pt>
                <c:pt idx="63">
                  <c:v>0.524030508591963</c:v>
                </c:pt>
                <c:pt idx="64">
                  <c:v>0.623286986246026</c:v>
                </c:pt>
                <c:pt idx="65">
                  <c:v>0.746295231194518</c:v>
                </c:pt>
                <c:pt idx="66">
                  <c:v>0.896695460940952</c:v>
                </c:pt>
                <c:pt idx="67">
                  <c:v>1.07576507243998</c:v>
                </c:pt>
                <c:pt idx="68">
                  <c:v>1.27919857739801</c:v>
                </c:pt>
                <c:pt idx="69">
                  <c:v>1.49278565294581</c:v>
                </c:pt>
                <c:pt idx="70">
                  <c:v>1.68924653269558</c:v>
                </c:pt>
                <c:pt idx="71">
                  <c:v>1.83105750862306</c:v>
                </c:pt>
                <c:pt idx="72">
                  <c:v>6.87426314307414</c:v>
                </c:pt>
                <c:pt idx="73">
                  <c:v>6.70180071641588</c:v>
                </c:pt>
                <c:pt idx="74">
                  <c:v>6.23033862908944</c:v>
                </c:pt>
                <c:pt idx="75">
                  <c:v>5.57085839059707</c:v>
                </c:pt>
                <c:pt idx="76">
                  <c:v>4.84439439182054</c:v>
                </c:pt>
                <c:pt idx="77">
                  <c:v>4.1416355286608</c:v>
                </c:pt>
                <c:pt idx="78">
                  <c:v>3.51251844177433</c:v>
                </c:pt>
                <c:pt idx="79">
                  <c:v>2.97485942184454</c:v>
                </c:pt>
                <c:pt idx="80">
                  <c:v>2.52744799870529</c:v>
                </c:pt>
                <c:pt idx="81">
                  <c:v>2.16030069803762</c:v>
                </c:pt>
                <c:pt idx="82">
                  <c:v>1.86078264120335</c:v>
                </c:pt>
                <c:pt idx="83">
                  <c:v>1.61662851930036</c:v>
                </c:pt>
                <c:pt idx="84">
                  <c:v>1.41714139202301</c:v>
                </c:pt>
                <c:pt idx="85">
                  <c:v>1.25347289810341</c:v>
                </c:pt>
                <c:pt idx="86">
                  <c:v>1.11850313790006</c:v>
                </c:pt>
                <c:pt idx="87">
                  <c:v>1.00658264690407</c:v>
                </c:pt>
                <c:pt idx="88">
                  <c:v>0.913255889277851</c:v>
                </c:pt>
                <c:pt idx="89">
                  <c:v>0.835013467248179</c:v>
                </c:pt>
                <c:pt idx="90">
                  <c:v>0.76908660793936</c:v>
                </c:pt>
                <c:pt idx="91">
                  <c:v>0.713283259655336</c:v>
                </c:pt>
                <c:pt idx="92">
                  <c:v>0.665860054598</c:v>
                </c:pt>
                <c:pt idx="93">
                  <c:v>0.62542334977165</c:v>
                </c:pt>
                <c:pt idx="94">
                  <c:v>0.590853105384604</c:v>
                </c:pt>
                <c:pt idx="95">
                  <c:v>0.561244400143962</c:v>
                </c:pt>
                <c:pt idx="96">
                  <c:v>0.535862454032956</c:v>
                </c:pt>
                <c:pt idx="97">
                  <c:v>0.514107963503169</c:v>
                </c:pt>
                <c:pt idx="98">
                  <c:v>0.495490311374599</c:v>
                </c:pt>
                <c:pt idx="99">
                  <c:v>0.479606804797655</c:v>
                </c:pt>
                <c:pt idx="100">
                  <c:v>0.466126546465398</c:v>
                </c:pt>
                <c:pt idx="101">
                  <c:v>0.454777885897528</c:v>
                </c:pt>
                <c:pt idx="102">
                  <c:v>0.44533865469043</c:v>
                </c:pt>
                <c:pt idx="103">
                  <c:v>0.437628583016043</c:v>
                </c:pt>
                <c:pt idx="104">
                  <c:v>0.43150344066725</c:v>
                </c:pt>
                <c:pt idx="105">
                  <c:v>0.426850557058037</c:v>
                </c:pt>
                <c:pt idx="106">
                  <c:v>0.423585460218799</c:v>
                </c:pt>
                <c:pt idx="107">
                  <c:v>0.421649442076891</c:v>
                </c:pt>
                <c:pt idx="108">
                  <c:v>0.421007911530166</c:v>
                </c:pt>
                <c:pt idx="109">
                  <c:v>0.11</c:v>
                </c:pt>
                <c:pt idx="110">
                  <c:v>0.11</c:v>
                </c:pt>
                <c:pt idx="111">
                  <c:v>0.11</c:v>
                </c:pt>
                <c:pt idx="112">
                  <c:v>0.11</c:v>
                </c:pt>
                <c:pt idx="113">
                  <c:v>0.11</c:v>
                </c:pt>
                <c:pt idx="114">
                  <c:v>0.11</c:v>
                </c:pt>
                <c:pt idx="115">
                  <c:v>0.11</c:v>
                </c:pt>
                <c:pt idx="116">
                  <c:v>0.11</c:v>
                </c:pt>
                <c:pt idx="117">
                  <c:v>0.11</c:v>
                </c:pt>
                <c:pt idx="118">
                  <c:v>0.11</c:v>
                </c:pt>
                <c:pt idx="119">
                  <c:v>0.11</c:v>
                </c:pt>
                <c:pt idx="120">
                  <c:v>0.11</c:v>
                </c:pt>
                <c:pt idx="121">
                  <c:v>0.11</c:v>
                </c:pt>
                <c:pt idx="122">
                  <c:v>0.11</c:v>
                </c:pt>
                <c:pt idx="123">
                  <c:v>0.11</c:v>
                </c:pt>
                <c:pt idx="124">
                  <c:v>0.11</c:v>
                </c:pt>
                <c:pt idx="125">
                  <c:v>0.11</c:v>
                </c:pt>
                <c:pt idx="126">
                  <c:v>0.11</c:v>
                </c:pt>
                <c:pt idx="127">
                  <c:v>0.11</c:v>
                </c:pt>
                <c:pt idx="128">
                  <c:v>0.11</c:v>
                </c:pt>
                <c:pt idx="129">
                  <c:v>0.11</c:v>
                </c:pt>
                <c:pt idx="130">
                  <c:v>0.11</c:v>
                </c:pt>
                <c:pt idx="131">
                  <c:v>0.11</c:v>
                </c:pt>
                <c:pt idx="132">
                  <c:v>0.11</c:v>
                </c:pt>
                <c:pt idx="133">
                  <c:v>0.11</c:v>
                </c:pt>
                <c:pt idx="134">
                  <c:v>0.11</c:v>
                </c:pt>
                <c:pt idx="135">
                  <c:v>0.11</c:v>
                </c:pt>
                <c:pt idx="136">
                  <c:v>0.11</c:v>
                </c:pt>
                <c:pt idx="137">
                  <c:v>0.11</c:v>
                </c:pt>
                <c:pt idx="138">
                  <c:v>0.11</c:v>
                </c:pt>
                <c:pt idx="139">
                  <c:v>0.11</c:v>
                </c:pt>
                <c:pt idx="140">
                  <c:v>0.11</c:v>
                </c:pt>
                <c:pt idx="141">
                  <c:v>0.11</c:v>
                </c:pt>
                <c:pt idx="142">
                  <c:v>0.11</c:v>
                </c:pt>
                <c:pt idx="143">
                  <c:v>0.11</c:v>
                </c:pt>
                <c:pt idx="144">
                  <c:v>0.11</c:v>
                </c:pt>
              </c:numCache>
            </c:numRef>
          </c:yVal>
          <c:smooth val="0"/>
        </c:ser>
        <c:axId val="63576978"/>
        <c:axId val="79261636"/>
      </c:scatterChart>
      <c:valAx>
        <c:axId val="6357697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[cm³]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61636"/>
        <c:crosses val="autoZero"/>
        <c:crossBetween val="midCat"/>
      </c:valAx>
      <c:valAx>
        <c:axId val="792616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[MPa]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57697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p–α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"p–α"</c:f>
              <c:strCache>
                <c:ptCount val="1"/>
                <c:pt idx="0">
                  <c:v>p–α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Diagrama!$A$5:$A$149</c:f>
              <c:numCache>
                <c:formatCode>General</c:formatCode>
                <c:ptCount val="14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</c:numCache>
            </c:numRef>
          </c:xVal>
          <c:yVal>
            <c:numRef>
              <c:f>Diagrama!$C$5:$C$149</c:f>
              <c:numCache>
                <c:formatCode>0.000</c:formatCode>
                <c:ptCount val="145"/>
                <c:pt idx="0">
                  <c:v>0.086</c:v>
                </c:pt>
                <c:pt idx="1">
                  <c:v>0.086</c:v>
                </c:pt>
                <c:pt idx="2">
                  <c:v>0.086</c:v>
                </c:pt>
                <c:pt idx="3">
                  <c:v>0.086</c:v>
                </c:pt>
                <c:pt idx="4">
                  <c:v>0.086</c:v>
                </c:pt>
                <c:pt idx="5">
                  <c:v>0.086</c:v>
                </c:pt>
                <c:pt idx="6">
                  <c:v>0.086</c:v>
                </c:pt>
                <c:pt idx="7">
                  <c:v>0.086</c:v>
                </c:pt>
                <c:pt idx="8">
                  <c:v>0.086</c:v>
                </c:pt>
                <c:pt idx="9">
                  <c:v>0.086</c:v>
                </c:pt>
                <c:pt idx="10">
                  <c:v>0.086</c:v>
                </c:pt>
                <c:pt idx="11">
                  <c:v>0.086</c:v>
                </c:pt>
                <c:pt idx="12">
                  <c:v>0.086</c:v>
                </c:pt>
                <c:pt idx="13">
                  <c:v>0.086</c:v>
                </c:pt>
                <c:pt idx="14">
                  <c:v>0.086</c:v>
                </c:pt>
                <c:pt idx="15">
                  <c:v>0.086</c:v>
                </c:pt>
                <c:pt idx="16">
                  <c:v>0.086</c:v>
                </c:pt>
                <c:pt idx="17">
                  <c:v>0.086</c:v>
                </c:pt>
                <c:pt idx="18">
                  <c:v>0.086</c:v>
                </c:pt>
                <c:pt idx="19">
                  <c:v>0.086</c:v>
                </c:pt>
                <c:pt idx="20">
                  <c:v>0.086</c:v>
                </c:pt>
                <c:pt idx="21">
                  <c:v>0.086</c:v>
                </c:pt>
                <c:pt idx="22">
                  <c:v>0.086</c:v>
                </c:pt>
                <c:pt idx="23">
                  <c:v>0.086</c:v>
                </c:pt>
                <c:pt idx="24">
                  <c:v>0.086</c:v>
                </c:pt>
                <c:pt idx="25">
                  <c:v>0.086</c:v>
                </c:pt>
                <c:pt idx="26">
                  <c:v>0.086</c:v>
                </c:pt>
                <c:pt idx="27">
                  <c:v>0.086</c:v>
                </c:pt>
                <c:pt idx="28">
                  <c:v>0.086</c:v>
                </c:pt>
                <c:pt idx="29">
                  <c:v>0.086</c:v>
                </c:pt>
                <c:pt idx="30">
                  <c:v>0.086</c:v>
                </c:pt>
                <c:pt idx="31">
                  <c:v>0.086</c:v>
                </c:pt>
                <c:pt idx="32">
                  <c:v>0.086</c:v>
                </c:pt>
                <c:pt idx="33">
                  <c:v>0.086</c:v>
                </c:pt>
                <c:pt idx="34">
                  <c:v>0.086</c:v>
                </c:pt>
                <c:pt idx="35">
                  <c:v>0.086</c:v>
                </c:pt>
                <c:pt idx="36">
                  <c:v>0.086</c:v>
                </c:pt>
                <c:pt idx="37">
                  <c:v>0.0861448292001651</c:v>
                </c:pt>
                <c:pt idx="38">
                  <c:v>0.0865820366654073</c:v>
                </c:pt>
                <c:pt idx="39">
                  <c:v>0.0873198629438594</c:v>
                </c:pt>
                <c:pt idx="40">
                  <c:v>0.0883723168597282</c:v>
                </c:pt>
                <c:pt idx="41">
                  <c:v>0.0897596042500156</c:v>
                </c:pt>
                <c:pt idx="42">
                  <c:v>0.0915087630958309</c:v>
                </c:pt>
                <c:pt idx="43">
                  <c:v>0.0936545427806708</c:v>
                </c:pt>
                <c:pt idx="44">
                  <c:v>0.0962405803796888</c:v>
                </c:pt>
                <c:pt idx="45">
                  <c:v>0.0993209459854275</c:v>
                </c:pt>
                <c:pt idx="46">
                  <c:v>0.102962153759019</c:v>
                </c:pt>
                <c:pt idx="47">
                  <c:v>0.107245767891022</c:v>
                </c:pt>
                <c:pt idx="48">
                  <c:v>0.112271775987813</c:v>
                </c:pt>
                <c:pt idx="49">
                  <c:v>0.11816296067334</c:v>
                </c:pt>
                <c:pt idx="50">
                  <c:v>0.125070578955746</c:v>
                </c:pt>
                <c:pt idx="51">
                  <c:v>0.133181765547602</c:v>
                </c:pt>
                <c:pt idx="52">
                  <c:v>0.142729220470972</c:v>
                </c:pt>
                <c:pt idx="53">
                  <c:v>0.15400393488752</c:v>
                </c:pt>
                <c:pt idx="54">
                  <c:v>0.167371965713654</c:v>
                </c:pt>
                <c:pt idx="55">
                  <c:v>0.183296601333228</c:v>
                </c:pt>
                <c:pt idx="56">
                  <c:v>0.202367669987196</c:v>
                </c:pt>
                <c:pt idx="57">
                  <c:v>0.225340201551457</c:v>
                </c:pt>
                <c:pt idx="58">
                  <c:v>0.253185058364815</c:v>
                </c:pt>
                <c:pt idx="59">
                  <c:v>0.287154219579279</c:v>
                </c:pt>
                <c:pt idx="60">
                  <c:v>0.328862462054133</c:v>
                </c:pt>
                <c:pt idx="61">
                  <c:v>0.380383729536808</c:v>
                </c:pt>
                <c:pt idx="62">
                  <c:v>0.444351373871529</c:v>
                </c:pt>
                <c:pt idx="63">
                  <c:v>0.524030508591963</c:v>
                </c:pt>
                <c:pt idx="64">
                  <c:v>0.623286986246026</c:v>
                </c:pt>
                <c:pt idx="65">
                  <c:v>0.746295231194518</c:v>
                </c:pt>
                <c:pt idx="66">
                  <c:v>0.896695460940952</c:v>
                </c:pt>
                <c:pt idx="67">
                  <c:v>1.07576507243998</c:v>
                </c:pt>
                <c:pt idx="68">
                  <c:v>1.27919857739801</c:v>
                </c:pt>
                <c:pt idx="69">
                  <c:v>1.49278565294581</c:v>
                </c:pt>
                <c:pt idx="70">
                  <c:v>1.68924653269558</c:v>
                </c:pt>
                <c:pt idx="71">
                  <c:v>1.83105750862306</c:v>
                </c:pt>
                <c:pt idx="72">
                  <c:v>6.87426314307414</c:v>
                </c:pt>
                <c:pt idx="73">
                  <c:v>6.70180071641588</c:v>
                </c:pt>
                <c:pt idx="74">
                  <c:v>6.23033862908944</c:v>
                </c:pt>
                <c:pt idx="75">
                  <c:v>5.57085839059707</c:v>
                </c:pt>
                <c:pt idx="76">
                  <c:v>4.84439439182054</c:v>
                </c:pt>
                <c:pt idx="77">
                  <c:v>4.1416355286608</c:v>
                </c:pt>
                <c:pt idx="78">
                  <c:v>3.51251844177433</c:v>
                </c:pt>
                <c:pt idx="79">
                  <c:v>2.97485942184454</c:v>
                </c:pt>
                <c:pt idx="80">
                  <c:v>2.52744799870529</c:v>
                </c:pt>
                <c:pt idx="81">
                  <c:v>2.16030069803762</c:v>
                </c:pt>
                <c:pt idx="82">
                  <c:v>1.86078264120335</c:v>
                </c:pt>
                <c:pt idx="83">
                  <c:v>1.61662851930036</c:v>
                </c:pt>
                <c:pt idx="84">
                  <c:v>1.41714139202301</c:v>
                </c:pt>
                <c:pt idx="85">
                  <c:v>1.25347289810341</c:v>
                </c:pt>
                <c:pt idx="86">
                  <c:v>1.11850313790006</c:v>
                </c:pt>
                <c:pt idx="87">
                  <c:v>1.00658264690407</c:v>
                </c:pt>
                <c:pt idx="88">
                  <c:v>0.913255889277851</c:v>
                </c:pt>
                <c:pt idx="89">
                  <c:v>0.835013467248179</c:v>
                </c:pt>
                <c:pt idx="90">
                  <c:v>0.76908660793936</c:v>
                </c:pt>
                <c:pt idx="91">
                  <c:v>0.713283259655336</c:v>
                </c:pt>
                <c:pt idx="92">
                  <c:v>0.665860054598</c:v>
                </c:pt>
                <c:pt idx="93">
                  <c:v>0.62542334977165</c:v>
                </c:pt>
                <c:pt idx="94">
                  <c:v>0.590853105384604</c:v>
                </c:pt>
                <c:pt idx="95">
                  <c:v>0.561244400143962</c:v>
                </c:pt>
                <c:pt idx="96">
                  <c:v>0.535862454032956</c:v>
                </c:pt>
                <c:pt idx="97">
                  <c:v>0.514107963503169</c:v>
                </c:pt>
                <c:pt idx="98">
                  <c:v>0.495490311374599</c:v>
                </c:pt>
                <c:pt idx="99">
                  <c:v>0.479606804797655</c:v>
                </c:pt>
                <c:pt idx="100">
                  <c:v>0.466126546465398</c:v>
                </c:pt>
                <c:pt idx="101">
                  <c:v>0.454777885897528</c:v>
                </c:pt>
                <c:pt idx="102">
                  <c:v>0.44533865469043</c:v>
                </c:pt>
                <c:pt idx="103">
                  <c:v>0.437628583016043</c:v>
                </c:pt>
                <c:pt idx="104">
                  <c:v>0.43150344066725</c:v>
                </c:pt>
                <c:pt idx="105">
                  <c:v>0.426850557058037</c:v>
                </c:pt>
                <c:pt idx="106">
                  <c:v>0.423585460218799</c:v>
                </c:pt>
                <c:pt idx="107">
                  <c:v>0.421649442076891</c:v>
                </c:pt>
                <c:pt idx="108">
                  <c:v>0.421007911530166</c:v>
                </c:pt>
                <c:pt idx="109">
                  <c:v>0.11</c:v>
                </c:pt>
                <c:pt idx="110">
                  <c:v>0.11</c:v>
                </c:pt>
                <c:pt idx="111">
                  <c:v>0.11</c:v>
                </c:pt>
                <c:pt idx="112">
                  <c:v>0.11</c:v>
                </c:pt>
                <c:pt idx="113">
                  <c:v>0.11</c:v>
                </c:pt>
                <c:pt idx="114">
                  <c:v>0.11</c:v>
                </c:pt>
                <c:pt idx="115">
                  <c:v>0.11</c:v>
                </c:pt>
                <c:pt idx="116">
                  <c:v>0.11</c:v>
                </c:pt>
                <c:pt idx="117">
                  <c:v>0.11</c:v>
                </c:pt>
                <c:pt idx="118">
                  <c:v>0.11</c:v>
                </c:pt>
                <c:pt idx="119">
                  <c:v>0.11</c:v>
                </c:pt>
                <c:pt idx="120">
                  <c:v>0.11</c:v>
                </c:pt>
                <c:pt idx="121">
                  <c:v>0.11</c:v>
                </c:pt>
                <c:pt idx="122">
                  <c:v>0.11</c:v>
                </c:pt>
                <c:pt idx="123">
                  <c:v>0.11</c:v>
                </c:pt>
                <c:pt idx="124">
                  <c:v>0.11</c:v>
                </c:pt>
                <c:pt idx="125">
                  <c:v>0.11</c:v>
                </c:pt>
                <c:pt idx="126">
                  <c:v>0.11</c:v>
                </c:pt>
                <c:pt idx="127">
                  <c:v>0.11</c:v>
                </c:pt>
                <c:pt idx="128">
                  <c:v>0.11</c:v>
                </c:pt>
                <c:pt idx="129">
                  <c:v>0.11</c:v>
                </c:pt>
                <c:pt idx="130">
                  <c:v>0.11</c:v>
                </c:pt>
                <c:pt idx="131">
                  <c:v>0.11</c:v>
                </c:pt>
                <c:pt idx="132">
                  <c:v>0.11</c:v>
                </c:pt>
                <c:pt idx="133">
                  <c:v>0.11</c:v>
                </c:pt>
                <c:pt idx="134">
                  <c:v>0.11</c:v>
                </c:pt>
                <c:pt idx="135">
                  <c:v>0.11</c:v>
                </c:pt>
                <c:pt idx="136">
                  <c:v>0.11</c:v>
                </c:pt>
                <c:pt idx="137">
                  <c:v>0.11</c:v>
                </c:pt>
                <c:pt idx="138">
                  <c:v>0.11</c:v>
                </c:pt>
                <c:pt idx="139">
                  <c:v>0.11</c:v>
                </c:pt>
                <c:pt idx="140">
                  <c:v>0.11</c:v>
                </c:pt>
                <c:pt idx="141">
                  <c:v>0.11</c:v>
                </c:pt>
                <c:pt idx="142">
                  <c:v>0.11</c:v>
                </c:pt>
                <c:pt idx="143">
                  <c:v>0.11</c:v>
                </c:pt>
                <c:pt idx="144">
                  <c:v>0.11</c:v>
                </c:pt>
              </c:numCache>
            </c:numRef>
          </c:yVal>
          <c:smooth val="1"/>
        </c:ser>
        <c:axId val="68584042"/>
        <c:axId val="38419557"/>
      </c:scatterChart>
      <c:valAx>
        <c:axId val="68584042"/>
        <c:scaling>
          <c:orientation val="minMax"/>
          <c:max val="72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α [°RAC]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19557"/>
        <c:crosses val="autoZero"/>
        <c:crossBetween val="midCat"/>
      </c:valAx>
      <c:valAx>
        <c:axId val="384195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[MPa]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8404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Caracteristica exterioară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"P_e [kW]"</c:f>
              <c:strCache>
                <c:ptCount val="1"/>
                <c:pt idx="0">
                  <c:v>P_e [kW]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Caracteristica!$A$12:$A$32</c:f>
              <c:numCache>
                <c:formatCode>0</c:formatCode>
                <c:ptCount val="21"/>
                <c:pt idx="0">
                  <c:v>1000</c:v>
                </c:pt>
                <c:pt idx="1">
                  <c:v>1255</c:v>
                </c:pt>
                <c:pt idx="2">
                  <c:v>1510</c:v>
                </c:pt>
                <c:pt idx="3">
                  <c:v>1765</c:v>
                </c:pt>
                <c:pt idx="4">
                  <c:v>2020</c:v>
                </c:pt>
                <c:pt idx="5">
                  <c:v>2275</c:v>
                </c:pt>
                <c:pt idx="6">
                  <c:v>2530</c:v>
                </c:pt>
                <c:pt idx="7">
                  <c:v>2785</c:v>
                </c:pt>
                <c:pt idx="8">
                  <c:v>3040</c:v>
                </c:pt>
                <c:pt idx="9">
                  <c:v>3295</c:v>
                </c:pt>
                <c:pt idx="10">
                  <c:v>3550</c:v>
                </c:pt>
                <c:pt idx="11">
                  <c:v>3805</c:v>
                </c:pt>
                <c:pt idx="12">
                  <c:v>4060</c:v>
                </c:pt>
                <c:pt idx="13">
                  <c:v>4315</c:v>
                </c:pt>
                <c:pt idx="14">
                  <c:v>4570</c:v>
                </c:pt>
                <c:pt idx="15">
                  <c:v>4825</c:v>
                </c:pt>
                <c:pt idx="16">
                  <c:v>5080</c:v>
                </c:pt>
                <c:pt idx="17">
                  <c:v>5335</c:v>
                </c:pt>
                <c:pt idx="18">
                  <c:v>5590</c:v>
                </c:pt>
                <c:pt idx="19">
                  <c:v>5845</c:v>
                </c:pt>
                <c:pt idx="20">
                  <c:v>6100</c:v>
                </c:pt>
              </c:numCache>
            </c:numRef>
          </c:xVal>
          <c:yVal>
            <c:numRef>
              <c:f>Caracteristica!$C$12:$C$32</c:f>
              <c:numCache>
                <c:formatCode>0.00</c:formatCode>
                <c:ptCount val="21"/>
                <c:pt idx="0">
                  <c:v>11.4876033057851</c:v>
                </c:pt>
                <c:pt idx="1">
                  <c:v>14.7602416942149</c:v>
                </c:pt>
                <c:pt idx="2">
                  <c:v>18.1074707438017</c:v>
                </c:pt>
                <c:pt idx="3">
                  <c:v>21.4964017768595</c:v>
                </c:pt>
                <c:pt idx="4">
                  <c:v>24.8941461157025</c:v>
                </c:pt>
                <c:pt idx="5">
                  <c:v>28.2678150826446</c:v>
                </c:pt>
                <c:pt idx="6">
                  <c:v>31.58452</c:v>
                </c:pt>
                <c:pt idx="7">
                  <c:v>34.8113721900827</c:v>
                </c:pt>
                <c:pt idx="8">
                  <c:v>37.9154829752066</c:v>
                </c:pt>
                <c:pt idx="9">
                  <c:v>40.863963677686</c:v>
                </c:pt>
                <c:pt idx="10">
                  <c:v>43.6239256198347</c:v>
                </c:pt>
                <c:pt idx="11">
                  <c:v>46.1624801239669</c:v>
                </c:pt>
                <c:pt idx="12">
                  <c:v>48.4467385123967</c:v>
                </c:pt>
                <c:pt idx="13">
                  <c:v>50.443812107438</c:v>
                </c:pt>
                <c:pt idx="14">
                  <c:v>52.120812231405</c:v>
                </c:pt>
                <c:pt idx="15">
                  <c:v>53.4448502066116</c:v>
                </c:pt>
                <c:pt idx="16">
                  <c:v>54.3830373553719</c:v>
                </c:pt>
                <c:pt idx="17">
                  <c:v>54.902485</c:v>
                </c:pt>
                <c:pt idx="18">
                  <c:v>54.9703044628099</c:v>
                </c:pt>
                <c:pt idx="19">
                  <c:v>54.5536070661157</c:v>
                </c:pt>
                <c:pt idx="20">
                  <c:v>53.6195041322314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"M_e [N·m]"</c:f>
              <c:strCache>
                <c:ptCount val="1"/>
                <c:pt idx="0">
                  <c:v>M_e [N·m]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Caracteristica!$A$12:$A$32</c:f>
              <c:numCache>
                <c:formatCode>0</c:formatCode>
                <c:ptCount val="21"/>
                <c:pt idx="0">
                  <c:v>1000</c:v>
                </c:pt>
                <c:pt idx="1">
                  <c:v>1255</c:v>
                </c:pt>
                <c:pt idx="2">
                  <c:v>1510</c:v>
                </c:pt>
                <c:pt idx="3">
                  <c:v>1765</c:v>
                </c:pt>
                <c:pt idx="4">
                  <c:v>2020</c:v>
                </c:pt>
                <c:pt idx="5">
                  <c:v>2275</c:v>
                </c:pt>
                <c:pt idx="6">
                  <c:v>2530</c:v>
                </c:pt>
                <c:pt idx="7">
                  <c:v>2785</c:v>
                </c:pt>
                <c:pt idx="8">
                  <c:v>3040</c:v>
                </c:pt>
                <c:pt idx="9">
                  <c:v>3295</c:v>
                </c:pt>
                <c:pt idx="10">
                  <c:v>3550</c:v>
                </c:pt>
                <c:pt idx="11">
                  <c:v>3805</c:v>
                </c:pt>
                <c:pt idx="12">
                  <c:v>4060</c:v>
                </c:pt>
                <c:pt idx="13">
                  <c:v>4315</c:v>
                </c:pt>
                <c:pt idx="14">
                  <c:v>4570</c:v>
                </c:pt>
                <c:pt idx="15">
                  <c:v>4825</c:v>
                </c:pt>
                <c:pt idx="16">
                  <c:v>5080</c:v>
                </c:pt>
                <c:pt idx="17">
                  <c:v>5335</c:v>
                </c:pt>
                <c:pt idx="18">
                  <c:v>5590</c:v>
                </c:pt>
                <c:pt idx="19">
                  <c:v>5845</c:v>
                </c:pt>
                <c:pt idx="20">
                  <c:v>6100</c:v>
                </c:pt>
              </c:numCache>
            </c:numRef>
          </c:xVal>
          <c:yVal>
            <c:numRef>
              <c:f>Caracteristica!$D$12:$D$32</c:f>
              <c:numCache>
                <c:formatCode>0.0</c:formatCode>
                <c:ptCount val="21"/>
                <c:pt idx="0">
                  <c:v>109.698570247934</c:v>
                </c:pt>
                <c:pt idx="1">
                  <c:v>112.310737857025</c:v>
                </c:pt>
                <c:pt idx="2">
                  <c:v>114.51236448595</c:v>
                </c:pt>
                <c:pt idx="3">
                  <c:v>116.303450134711</c:v>
                </c:pt>
                <c:pt idx="4">
                  <c:v>117.683994803306</c:v>
                </c:pt>
                <c:pt idx="5">
                  <c:v>118.653998491736</c:v>
                </c:pt>
                <c:pt idx="6">
                  <c:v>119.2134612</c:v>
                </c:pt>
                <c:pt idx="7">
                  <c:v>119.362382928099</c:v>
                </c:pt>
                <c:pt idx="8">
                  <c:v>119.100763676033</c:v>
                </c:pt>
                <c:pt idx="9">
                  <c:v>118.428603443802</c:v>
                </c:pt>
                <c:pt idx="10">
                  <c:v>117.345902231405</c:v>
                </c:pt>
                <c:pt idx="11">
                  <c:v>115.852660038843</c:v>
                </c:pt>
                <c:pt idx="12">
                  <c:v>113.948876866116</c:v>
                </c:pt>
                <c:pt idx="13">
                  <c:v>111.634552713223</c:v>
                </c:pt>
                <c:pt idx="14">
                  <c:v>108.909687580165</c:v>
                </c:pt>
                <c:pt idx="15">
                  <c:v>105.774281466942</c:v>
                </c:pt>
                <c:pt idx="16">
                  <c:v>102.228334373554</c:v>
                </c:pt>
                <c:pt idx="17">
                  <c:v>98.2718463</c:v>
                </c:pt>
                <c:pt idx="18">
                  <c:v>93.904817246281</c:v>
                </c:pt>
                <c:pt idx="19">
                  <c:v>89.1272472123967</c:v>
                </c:pt>
                <c:pt idx="20">
                  <c:v>83.9391361983471</c:v>
                </c:pt>
              </c:numCache>
            </c:numRef>
          </c:yVal>
          <c:smooth val="1"/>
        </c:ser>
        <c:axId val="12376881"/>
        <c:axId val="72870130"/>
      </c:scatterChart>
      <c:valAx>
        <c:axId val="1237688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 [rot/min]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70130"/>
        <c:crosses val="autoZero"/>
        <c:crossBetween val="midCat"/>
      </c:valAx>
      <c:valAx>
        <c:axId val="728701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P_e [kW], M_e [N·m]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7688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Consumul specific efectiv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"c_e"</c:f>
              <c:strCache>
                <c:ptCount val="1"/>
                <c:pt idx="0">
                  <c:v>c_e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Caracteristica!$A$12:$A$32</c:f>
              <c:numCache>
                <c:formatCode>0</c:formatCode>
                <c:ptCount val="21"/>
                <c:pt idx="0">
                  <c:v>1000</c:v>
                </c:pt>
                <c:pt idx="1">
                  <c:v>1255</c:v>
                </c:pt>
                <c:pt idx="2">
                  <c:v>1510</c:v>
                </c:pt>
                <c:pt idx="3">
                  <c:v>1765</c:v>
                </c:pt>
                <c:pt idx="4">
                  <c:v>2020</c:v>
                </c:pt>
                <c:pt idx="5">
                  <c:v>2275</c:v>
                </c:pt>
                <c:pt idx="6">
                  <c:v>2530</c:v>
                </c:pt>
                <c:pt idx="7">
                  <c:v>2785</c:v>
                </c:pt>
                <c:pt idx="8">
                  <c:v>3040</c:v>
                </c:pt>
                <c:pt idx="9">
                  <c:v>3295</c:v>
                </c:pt>
                <c:pt idx="10">
                  <c:v>3550</c:v>
                </c:pt>
                <c:pt idx="11">
                  <c:v>3805</c:v>
                </c:pt>
                <c:pt idx="12">
                  <c:v>4060</c:v>
                </c:pt>
                <c:pt idx="13">
                  <c:v>4315</c:v>
                </c:pt>
                <c:pt idx="14">
                  <c:v>4570</c:v>
                </c:pt>
                <c:pt idx="15">
                  <c:v>4825</c:v>
                </c:pt>
                <c:pt idx="16">
                  <c:v>5080</c:v>
                </c:pt>
                <c:pt idx="17">
                  <c:v>5335</c:v>
                </c:pt>
                <c:pt idx="18">
                  <c:v>5590</c:v>
                </c:pt>
                <c:pt idx="19">
                  <c:v>5845</c:v>
                </c:pt>
                <c:pt idx="20">
                  <c:v>6100</c:v>
                </c:pt>
              </c:numCache>
            </c:numRef>
          </c:xVal>
          <c:yVal>
            <c:numRef>
              <c:f>Caracteristica!$E$12:$E$32</c:f>
              <c:numCache>
                <c:formatCode>0.0</c:formatCode>
                <c:ptCount val="21"/>
                <c:pt idx="0">
                  <c:v>259.083015442178</c:v>
                </c:pt>
                <c:pt idx="1">
                  <c:v>249.732608144636</c:v>
                </c:pt>
                <c:pt idx="2">
                  <c:v>241.4797170086</c:v>
                </c:pt>
                <c:pt idx="3">
                  <c:v>234.324342034071</c:v>
                </c:pt>
                <c:pt idx="4">
                  <c:v>228.266483221049</c:v>
                </c:pt>
                <c:pt idx="5">
                  <c:v>223.306140569533</c:v>
                </c:pt>
                <c:pt idx="6">
                  <c:v>219.443314079525</c:v>
                </c:pt>
                <c:pt idx="7">
                  <c:v>216.678003751022</c:v>
                </c:pt>
                <c:pt idx="8">
                  <c:v>215.010209584027</c:v>
                </c:pt>
                <c:pt idx="9">
                  <c:v>214.439931578538</c:v>
                </c:pt>
                <c:pt idx="10">
                  <c:v>214.967169734556</c:v>
                </c:pt>
                <c:pt idx="11">
                  <c:v>216.591924052081</c:v>
                </c:pt>
                <c:pt idx="12">
                  <c:v>219.314194531112</c:v>
                </c:pt>
                <c:pt idx="13">
                  <c:v>223.13398117165</c:v>
                </c:pt>
                <c:pt idx="14">
                  <c:v>228.051283973695</c:v>
                </c:pt>
                <c:pt idx="15">
                  <c:v>234.066102937246</c:v>
                </c:pt>
                <c:pt idx="16">
                  <c:v>241.178438062304</c:v>
                </c:pt>
                <c:pt idx="17">
                  <c:v>249.388289348869</c:v>
                </c:pt>
                <c:pt idx="18">
                  <c:v>258.69565679694</c:v>
                </c:pt>
                <c:pt idx="19">
                  <c:v>269.100540406518</c:v>
                </c:pt>
                <c:pt idx="20">
                  <c:v>280.602940177603</c:v>
                </c:pt>
              </c:numCache>
            </c:numRef>
          </c:yVal>
          <c:smooth val="1"/>
        </c:ser>
        <c:axId val="8239670"/>
        <c:axId val="77560885"/>
      </c:scatterChart>
      <c:valAx>
        <c:axId val="823967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 [rot/min]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560885"/>
        <c:crosses val="autoZero"/>
        <c:crossBetween val="midCat"/>
      </c:valAx>
      <c:valAx>
        <c:axId val="775608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c_e [g/kWh]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967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176040</xdr:rowOff>
    </xdr:from>
    <xdr:to>
      <xdr:col>14</xdr:col>
      <xdr:colOff>162720</xdr:colOff>
      <xdr:row>19</xdr:row>
      <xdr:rowOff>177120</xdr:rowOff>
    </xdr:to>
    <xdr:graphicFrame>
      <xdr:nvGraphicFramePr>
        <xdr:cNvPr id="0" name="Chart 1"/>
        <xdr:cNvGraphicFramePr/>
      </xdr:nvGraphicFramePr>
      <xdr:xfrm>
        <a:off x="493380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22</xdr:row>
      <xdr:rowOff>176040</xdr:rowOff>
    </xdr:from>
    <xdr:to>
      <xdr:col>14</xdr:col>
      <xdr:colOff>162720</xdr:colOff>
      <xdr:row>36</xdr:row>
      <xdr:rowOff>28440</xdr:rowOff>
    </xdr:to>
    <xdr:graphicFrame>
      <xdr:nvGraphicFramePr>
        <xdr:cNvPr id="1" name="Chart 2"/>
        <xdr:cNvGraphicFramePr/>
      </xdr:nvGraphicFramePr>
      <xdr:xfrm>
        <a:off x="4933800" y="438156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175680</xdr:rowOff>
    </xdr:from>
    <xdr:to>
      <xdr:col>17</xdr:col>
      <xdr:colOff>4680</xdr:colOff>
      <xdr:row>18</xdr:row>
      <xdr:rowOff>176760</xdr:rowOff>
    </xdr:to>
    <xdr:graphicFrame>
      <xdr:nvGraphicFramePr>
        <xdr:cNvPr id="2" name="Chart 1"/>
        <xdr:cNvGraphicFramePr/>
      </xdr:nvGraphicFramePr>
      <xdr:xfrm>
        <a:off x="7660080" y="3808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176040</xdr:rowOff>
    </xdr:from>
    <xdr:to>
      <xdr:col>17</xdr:col>
      <xdr:colOff>4680</xdr:colOff>
      <xdr:row>34</xdr:row>
      <xdr:rowOff>28800</xdr:rowOff>
    </xdr:to>
    <xdr:graphicFrame>
      <xdr:nvGraphicFramePr>
        <xdr:cNvPr id="3" name="Chart 2"/>
        <xdr:cNvGraphicFramePr/>
      </xdr:nvGraphicFramePr>
      <xdr:xfrm>
        <a:off x="7660080" y="4000680"/>
        <a:ext cx="61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15.75" hidden="false" customHeight="true" outlineLevel="0" collapsed="false">
      <c r="A3" s="2"/>
    </row>
    <row r="4" customFormat="false" ht="15.75" hidden="false" customHeight="true" outlineLevel="0" collapsed="false">
      <c r="A4" s="2" t="s">
        <v>2</v>
      </c>
    </row>
    <row r="5" customFormat="false" ht="30" hidden="false" customHeight="true" outlineLevel="0" collapsed="false">
      <c r="A5" s="2" t="s">
        <v>3</v>
      </c>
    </row>
    <row r="6" customFormat="false" ht="30" hidden="false" customHeight="true" outlineLevel="0" collapsed="false">
      <c r="A6" s="2" t="s">
        <v>4</v>
      </c>
    </row>
    <row r="7" customFormat="false" ht="30" hidden="false" customHeight="true" outlineLevel="0" collapsed="false">
      <c r="A7" s="2" t="s">
        <v>5</v>
      </c>
    </row>
    <row r="8" customFormat="false" ht="15.75" hidden="false" customHeight="true" outlineLevel="0" collapsed="false">
      <c r="A8" s="2" t="s">
        <v>6</v>
      </c>
    </row>
    <row r="9" customFormat="false" ht="15.75" hidden="false" customHeight="true" outlineLevel="0" collapsed="false">
      <c r="A9" s="2" t="s">
        <v>7</v>
      </c>
    </row>
    <row r="10" customFormat="false" ht="30" hidden="false" customHeight="true" outlineLevel="0" collapsed="false">
      <c r="A10" s="2" t="s">
        <v>8</v>
      </c>
    </row>
    <row r="11" customFormat="false" ht="15.75" hidden="false" customHeight="true" outlineLevel="0" collapsed="false">
      <c r="A11" s="2"/>
    </row>
    <row r="12" customFormat="false" ht="15.75" hidden="false" customHeight="true" outlineLevel="0" collapsed="false">
      <c r="A12" s="2" t="s">
        <v>9</v>
      </c>
    </row>
    <row r="13" customFormat="false" ht="15.75" hidden="false" customHeight="true" outlineLevel="0" collapsed="false">
      <c r="A13" s="2" t="s">
        <v>10</v>
      </c>
    </row>
    <row r="14" customFormat="false" ht="15.75" hidden="false" customHeight="true" outlineLevel="0" collapsed="false">
      <c r="A14" s="2" t="s">
        <v>11</v>
      </c>
    </row>
    <row r="15" customFormat="false" ht="15.75" hidden="false" customHeight="true" outlineLevel="0" collapsed="false">
      <c r="A15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"/>
    <col collapsed="false" customWidth="true" hidden="false" outlineLevel="0" max="3" min="3" style="0" width="17"/>
    <col collapsed="false" customWidth="true" hidden="false" outlineLevel="0" max="5" min="4" style="0" width="19"/>
    <col collapsed="false" customWidth="true" hidden="false" outlineLevel="0" max="6" min="6" style="0" width="13"/>
    <col collapsed="false" customWidth="true" hidden="false" outlineLevel="0" max="7" min="7" style="0" width="14"/>
  </cols>
  <sheetData>
    <row r="1" customFormat="false" ht="16.15" hidden="false" customHeight="false" outlineLevel="0" collapsed="false">
      <c r="A1" s="3" t="s">
        <v>13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4" t="s">
        <v>14</v>
      </c>
      <c r="B2" s="4"/>
      <c r="C2" s="4"/>
      <c r="D2" s="4"/>
      <c r="E2" s="4"/>
      <c r="F2" s="4"/>
      <c r="G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</row>
    <row r="4" customFormat="false" ht="23.85" hidden="false" customHeight="fals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</row>
    <row r="5" customFormat="false" ht="15" hidden="false" customHeight="false" outlineLevel="0" collapsed="false">
      <c r="A5" s="6" t="s">
        <v>22</v>
      </c>
      <c r="B5" s="6" t="s">
        <v>23</v>
      </c>
      <c r="C5" s="7" t="s">
        <v>24</v>
      </c>
      <c r="D5" s="6" t="s">
        <v>24</v>
      </c>
      <c r="E5" s="6" t="s">
        <v>25</v>
      </c>
      <c r="F5" s="6" t="s">
        <v>26</v>
      </c>
      <c r="G5" s="6" t="s">
        <v>23</v>
      </c>
    </row>
    <row r="6" customFormat="false" ht="15" hidden="false" customHeight="false" outlineLevel="0" collapsed="false">
      <c r="A6" s="6" t="s">
        <v>27</v>
      </c>
      <c r="B6" s="6" t="s">
        <v>28</v>
      </c>
      <c r="C6" s="7" t="n">
        <v>55</v>
      </c>
      <c r="D6" s="6" t="n">
        <v>55</v>
      </c>
      <c r="E6" s="6" t="n">
        <v>66</v>
      </c>
      <c r="F6" s="6" t="s">
        <v>29</v>
      </c>
      <c r="G6" s="6" t="s">
        <v>30</v>
      </c>
    </row>
    <row r="7" customFormat="false" ht="15" hidden="false" customHeight="false" outlineLevel="0" collapsed="false">
      <c r="A7" s="6" t="s">
        <v>31</v>
      </c>
      <c r="B7" s="6" t="s">
        <v>32</v>
      </c>
      <c r="C7" s="7" t="n">
        <v>5500</v>
      </c>
      <c r="D7" s="6" t="n">
        <v>5500</v>
      </c>
      <c r="E7" s="6" t="n">
        <v>4000</v>
      </c>
      <c r="F7" s="6" t="s">
        <v>33</v>
      </c>
      <c r="G7" s="6" t="s">
        <v>32</v>
      </c>
    </row>
    <row r="8" customFormat="false" ht="15" hidden="false" customHeight="false" outlineLevel="0" collapsed="false">
      <c r="A8" s="6" t="s">
        <v>34</v>
      </c>
      <c r="B8" s="6" t="s">
        <v>35</v>
      </c>
      <c r="C8" s="7" t="n">
        <v>4</v>
      </c>
      <c r="D8" s="6" t="n">
        <v>4</v>
      </c>
      <c r="E8" s="6" t="n">
        <v>4</v>
      </c>
      <c r="F8" s="6" t="s">
        <v>26</v>
      </c>
      <c r="G8" s="6" t="s">
        <v>36</v>
      </c>
    </row>
    <row r="9" customFormat="false" ht="15" hidden="false" customHeight="false" outlineLevel="0" collapsed="false">
      <c r="A9" s="6" t="s">
        <v>37</v>
      </c>
      <c r="B9" s="6" t="s">
        <v>38</v>
      </c>
      <c r="C9" s="7" t="n">
        <v>4</v>
      </c>
      <c r="D9" s="6" t="n">
        <v>4</v>
      </c>
      <c r="E9" s="6" t="n">
        <v>4</v>
      </c>
      <c r="F9" s="6" t="s">
        <v>26</v>
      </c>
      <c r="G9" s="6" t="s">
        <v>39</v>
      </c>
    </row>
    <row r="10" customFormat="false" ht="15" hidden="false" customHeight="false" outlineLevel="0" collapsed="false">
      <c r="A10" s="6" t="s">
        <v>40</v>
      </c>
      <c r="B10" s="6" t="s">
        <v>41</v>
      </c>
      <c r="C10" s="7" t="n">
        <v>0.855</v>
      </c>
      <c r="D10" s="6" t="n">
        <v>0.855</v>
      </c>
      <c r="E10" s="6" t="n">
        <v>0.857</v>
      </c>
      <c r="F10" s="6" t="s">
        <v>26</v>
      </c>
      <c r="G10" s="6" t="s">
        <v>42</v>
      </c>
    </row>
    <row r="11" customFormat="false" ht="15" hidden="false" customHeight="false" outlineLevel="0" collapsed="false">
      <c r="A11" s="6" t="s">
        <v>43</v>
      </c>
      <c r="B11" s="6" t="s">
        <v>44</v>
      </c>
      <c r="C11" s="7" t="n">
        <v>0.145</v>
      </c>
      <c r="D11" s="6" t="n">
        <v>0.145</v>
      </c>
      <c r="E11" s="6" t="n">
        <v>0.133</v>
      </c>
      <c r="F11" s="6" t="s">
        <v>26</v>
      </c>
      <c r="G11" s="6" t="s">
        <v>45</v>
      </c>
    </row>
    <row r="12" customFormat="false" ht="15" hidden="false" customHeight="false" outlineLevel="0" collapsed="false">
      <c r="A12" s="6" t="s">
        <v>46</v>
      </c>
      <c r="B12" s="6" t="s">
        <v>47</v>
      </c>
      <c r="C12" s="7" t="n">
        <v>0</v>
      </c>
      <c r="D12" s="6" t="n">
        <v>0</v>
      </c>
      <c r="E12" s="6" t="n">
        <v>0.01</v>
      </c>
      <c r="F12" s="6" t="s">
        <v>26</v>
      </c>
      <c r="G12" s="6" t="s">
        <v>48</v>
      </c>
    </row>
    <row r="13" customFormat="false" ht="15" hidden="false" customHeight="false" outlineLevel="0" collapsed="false">
      <c r="A13" s="6" t="s">
        <v>49</v>
      </c>
      <c r="B13" s="6" t="s">
        <v>50</v>
      </c>
      <c r="C13" s="7" t="n">
        <v>43500</v>
      </c>
      <c r="D13" s="6" t="n">
        <v>43500</v>
      </c>
      <c r="E13" s="6" t="n">
        <v>42500</v>
      </c>
      <c r="F13" s="6" t="s">
        <v>51</v>
      </c>
      <c r="G13" s="6" t="s">
        <v>50</v>
      </c>
    </row>
    <row r="14" customFormat="false" ht="15" hidden="false" customHeight="false" outlineLevel="0" collapsed="false">
      <c r="A14" s="6" t="s">
        <v>52</v>
      </c>
      <c r="B14" s="6" t="s">
        <v>53</v>
      </c>
      <c r="C14" s="7" t="n">
        <v>114</v>
      </c>
      <c r="D14" s="6" t="n">
        <v>114</v>
      </c>
      <c r="E14" s="6" t="n">
        <v>0</v>
      </c>
      <c r="F14" s="6" t="s">
        <v>54</v>
      </c>
      <c r="G14" s="6" t="s">
        <v>53</v>
      </c>
    </row>
    <row r="15" customFormat="false" ht="15" hidden="false" customHeight="false" outlineLevel="0" collapsed="false">
      <c r="A15" s="6" t="s">
        <v>55</v>
      </c>
      <c r="B15" s="6" t="s">
        <v>56</v>
      </c>
      <c r="C15" s="7" t="n">
        <v>0.1</v>
      </c>
      <c r="D15" s="6" t="n">
        <v>0.1</v>
      </c>
      <c r="E15" s="6" t="n">
        <v>0.2</v>
      </c>
      <c r="F15" s="6" t="s">
        <v>57</v>
      </c>
      <c r="G15" s="6" t="s">
        <v>56</v>
      </c>
    </row>
    <row r="16" customFormat="false" ht="15" hidden="false" customHeight="false" outlineLevel="0" collapsed="false">
      <c r="A16" s="6" t="s">
        <v>58</v>
      </c>
      <c r="B16" s="6" t="s">
        <v>59</v>
      </c>
      <c r="C16" s="7" t="n">
        <v>298</v>
      </c>
      <c r="D16" s="6" t="n">
        <v>298</v>
      </c>
      <c r="E16" s="6" t="n">
        <v>320</v>
      </c>
      <c r="F16" s="6" t="s">
        <v>60</v>
      </c>
      <c r="G16" s="6" t="s">
        <v>59</v>
      </c>
    </row>
    <row r="17" customFormat="false" ht="15" hidden="false" customHeight="false" outlineLevel="0" collapsed="false">
      <c r="A17" s="6" t="s">
        <v>61</v>
      </c>
      <c r="B17" s="6" t="s">
        <v>62</v>
      </c>
      <c r="C17" s="7" t="n">
        <v>0.86</v>
      </c>
      <c r="D17" s="6" t="n">
        <v>0.86</v>
      </c>
      <c r="E17" s="6" t="n">
        <v>0.94</v>
      </c>
      <c r="F17" s="6" t="s">
        <v>26</v>
      </c>
      <c r="G17" s="6" t="s">
        <v>63</v>
      </c>
    </row>
    <row r="18" customFormat="false" ht="15" hidden="false" customHeight="false" outlineLevel="0" collapsed="false">
      <c r="A18" s="6" t="s">
        <v>64</v>
      </c>
      <c r="B18" s="6" t="s">
        <v>65</v>
      </c>
      <c r="C18" s="7" t="n">
        <v>12</v>
      </c>
      <c r="D18" s="6" t="n">
        <v>12</v>
      </c>
      <c r="E18" s="6" t="n">
        <v>8</v>
      </c>
      <c r="F18" s="6" t="s">
        <v>60</v>
      </c>
      <c r="G18" s="6" t="s">
        <v>66</v>
      </c>
    </row>
    <row r="19" customFormat="false" ht="15" hidden="false" customHeight="false" outlineLevel="0" collapsed="false">
      <c r="A19" s="6" t="s">
        <v>67</v>
      </c>
      <c r="B19" s="6" t="s">
        <v>68</v>
      </c>
      <c r="C19" s="7" t="n">
        <v>1040</v>
      </c>
      <c r="D19" s="6" t="n">
        <v>1040</v>
      </c>
      <c r="E19" s="6" t="n">
        <v>760</v>
      </c>
      <c r="F19" s="6" t="s">
        <v>60</v>
      </c>
      <c r="G19" s="6" t="s">
        <v>68</v>
      </c>
    </row>
    <row r="20" customFormat="false" ht="15" hidden="false" customHeight="false" outlineLevel="0" collapsed="false">
      <c r="A20" s="6" t="s">
        <v>69</v>
      </c>
      <c r="B20" s="6" t="s">
        <v>70</v>
      </c>
      <c r="C20" s="7" t="n">
        <v>0.11</v>
      </c>
      <c r="D20" s="6" t="n">
        <v>0.11</v>
      </c>
      <c r="E20" s="6" t="n">
        <v>0.19</v>
      </c>
      <c r="F20" s="6" t="s">
        <v>57</v>
      </c>
      <c r="G20" s="6" t="s">
        <v>70</v>
      </c>
    </row>
    <row r="21" customFormat="false" ht="15" hidden="false" customHeight="false" outlineLevel="0" collapsed="false">
      <c r="A21" s="6" t="s">
        <v>71</v>
      </c>
      <c r="B21" s="6" t="s">
        <v>72</v>
      </c>
      <c r="C21" s="7" t="n">
        <v>0.06</v>
      </c>
      <c r="D21" s="6" t="n">
        <v>0.06</v>
      </c>
      <c r="E21" s="6" t="n">
        <v>0.02</v>
      </c>
      <c r="F21" s="6" t="s">
        <v>26</v>
      </c>
      <c r="G21" s="6" t="s">
        <v>73</v>
      </c>
    </row>
    <row r="22" customFormat="false" ht="15" hidden="false" customHeight="false" outlineLevel="0" collapsed="false">
      <c r="A22" s="6" t="s">
        <v>74</v>
      </c>
      <c r="B22" s="6" t="s">
        <v>75</v>
      </c>
      <c r="C22" s="7" t="n">
        <v>1</v>
      </c>
      <c r="D22" s="6" t="n">
        <v>1</v>
      </c>
      <c r="E22" s="6" t="n">
        <v>1.45</v>
      </c>
      <c r="F22" s="6" t="s">
        <v>26</v>
      </c>
      <c r="G22" s="6" t="s">
        <v>76</v>
      </c>
    </row>
    <row r="23" customFormat="false" ht="15" hidden="false" customHeight="false" outlineLevel="0" collapsed="false">
      <c r="A23" s="6" t="s">
        <v>77</v>
      </c>
      <c r="B23" s="6" t="s">
        <v>78</v>
      </c>
      <c r="C23" s="7" t="n">
        <v>9.5</v>
      </c>
      <c r="D23" s="6" t="n">
        <v>9.5</v>
      </c>
      <c r="E23" s="6" t="n">
        <v>15.7</v>
      </c>
      <c r="F23" s="6" t="s">
        <v>26</v>
      </c>
      <c r="G23" s="6" t="s">
        <v>79</v>
      </c>
    </row>
    <row r="24" customFormat="false" ht="15" hidden="false" customHeight="false" outlineLevel="0" collapsed="false">
      <c r="A24" s="6" t="s">
        <v>80</v>
      </c>
      <c r="B24" s="6" t="s">
        <v>81</v>
      </c>
      <c r="C24" s="7" t="n">
        <v>0.88</v>
      </c>
      <c r="D24" s="6" t="n">
        <v>0.88</v>
      </c>
      <c r="E24" s="6" t="n">
        <v>0.85</v>
      </c>
      <c r="F24" s="6" t="s">
        <v>26</v>
      </c>
      <c r="G24" s="6" t="s">
        <v>82</v>
      </c>
    </row>
    <row r="25" customFormat="false" ht="15" hidden="false" customHeight="false" outlineLevel="0" collapsed="false">
      <c r="A25" s="6" t="s">
        <v>83</v>
      </c>
      <c r="B25" s="6" t="s">
        <v>84</v>
      </c>
      <c r="C25" s="7" t="n">
        <v>0.8</v>
      </c>
      <c r="D25" s="6" t="n">
        <v>0.8</v>
      </c>
      <c r="E25" s="6" t="n">
        <v>0.8</v>
      </c>
      <c r="F25" s="6" t="s">
        <v>26</v>
      </c>
      <c r="G25" s="6" t="s">
        <v>85</v>
      </c>
    </row>
    <row r="26" customFormat="false" ht="15" hidden="false" customHeight="false" outlineLevel="0" collapsed="false">
      <c r="A26" s="6" t="s">
        <v>86</v>
      </c>
      <c r="B26" s="6" t="s">
        <v>87</v>
      </c>
      <c r="C26" s="7" t="n">
        <v>0.96</v>
      </c>
      <c r="D26" s="6" t="n">
        <v>0.96</v>
      </c>
      <c r="E26" s="6" t="n">
        <v>0.97</v>
      </c>
      <c r="F26" s="6" t="s">
        <v>26</v>
      </c>
      <c r="G26" s="6" t="s">
        <v>88</v>
      </c>
    </row>
    <row r="27" customFormat="false" ht="15" hidden="false" customHeight="false" outlineLevel="0" collapsed="false">
      <c r="A27" s="6" t="s">
        <v>89</v>
      </c>
      <c r="B27" s="6" t="s">
        <v>90</v>
      </c>
      <c r="C27" s="7" t="n">
        <v>0.84</v>
      </c>
      <c r="D27" s="6" t="n">
        <v>0.84</v>
      </c>
      <c r="E27" s="6" t="n">
        <v>0.82</v>
      </c>
      <c r="F27" s="6" t="s">
        <v>26</v>
      </c>
      <c r="G27" s="6" t="s">
        <v>91</v>
      </c>
    </row>
    <row r="28" customFormat="false" ht="15" hidden="false" customHeight="false" outlineLevel="0" collapsed="false">
      <c r="A28" s="6" t="s">
        <v>92</v>
      </c>
      <c r="B28" s="6" t="s">
        <v>93</v>
      </c>
      <c r="C28" s="7" t="n">
        <v>0.28</v>
      </c>
      <c r="D28" s="6" t="n">
        <v>0.28</v>
      </c>
      <c r="E28" s="6" t="n">
        <v>0.3</v>
      </c>
      <c r="F28" s="6" t="s">
        <v>26</v>
      </c>
      <c r="G28" s="6" t="s">
        <v>94</v>
      </c>
    </row>
    <row r="29" customFormat="false" ht="15" hidden="false" customHeight="false" outlineLevel="0" collapsed="false">
      <c r="A29" s="6" t="s">
        <v>95</v>
      </c>
      <c r="B29" s="6" t="s">
        <v>96</v>
      </c>
      <c r="C29" s="7" t="n">
        <v>0.88</v>
      </c>
      <c r="D29" s="6" t="n">
        <v>0.88</v>
      </c>
      <c r="E29" s="6" t="n">
        <v>1.06</v>
      </c>
      <c r="F29" s="6" t="s">
        <v>26</v>
      </c>
      <c r="G29" s="6" t="s">
        <v>97</v>
      </c>
    </row>
    <row r="30" customFormat="false" ht="15" hidden="false" customHeight="false" outlineLevel="0" collapsed="false">
      <c r="A30" s="6" t="s">
        <v>98</v>
      </c>
      <c r="B30" s="6" t="s">
        <v>99</v>
      </c>
      <c r="C30" s="7" t="n">
        <v>30</v>
      </c>
      <c r="D30" s="6" t="n">
        <v>30</v>
      </c>
      <c r="E30" s="6" t="n">
        <v>12</v>
      </c>
      <c r="F30" s="6" t="s">
        <v>100</v>
      </c>
      <c r="G30" s="6" t="s">
        <v>101</v>
      </c>
    </row>
    <row r="31" customFormat="false" ht="15" hidden="false" customHeight="false" outlineLevel="0" collapsed="false">
      <c r="A31" s="6" t="s">
        <v>102</v>
      </c>
      <c r="B31" s="6" t="s">
        <v>103</v>
      </c>
      <c r="C31" s="7" t="n">
        <v>40</v>
      </c>
      <c r="D31" s="6" t="n">
        <v>40</v>
      </c>
      <c r="E31" s="6" t="n">
        <v>40</v>
      </c>
      <c r="F31" s="6" t="s">
        <v>100</v>
      </c>
      <c r="G31" s="6" t="s">
        <v>104</v>
      </c>
    </row>
    <row r="32" customFormat="false" ht="15" hidden="false" customHeight="false" outlineLevel="0" collapsed="false">
      <c r="A32" s="6" t="s">
        <v>105</v>
      </c>
      <c r="B32" s="6" t="s">
        <v>106</v>
      </c>
      <c r="C32" s="7" t="n">
        <v>10</v>
      </c>
      <c r="D32" s="6" t="n">
        <v>10</v>
      </c>
      <c r="E32" s="6" t="n">
        <v>12</v>
      </c>
      <c r="F32" s="6" t="s">
        <v>100</v>
      </c>
      <c r="G32" s="6" t="s">
        <v>106</v>
      </c>
    </row>
    <row r="33" customFormat="false" ht="15" hidden="false" customHeight="false" outlineLevel="0" collapsed="false">
      <c r="A33" s="6" t="s">
        <v>107</v>
      </c>
      <c r="B33" s="6" t="s">
        <v>108</v>
      </c>
      <c r="C33" s="7" t="n">
        <v>45</v>
      </c>
      <c r="D33" s="6" t="n">
        <v>45</v>
      </c>
      <c r="E33" s="6" t="n">
        <v>35</v>
      </c>
      <c r="F33" s="6" t="s">
        <v>100</v>
      </c>
      <c r="G33" s="6" t="s">
        <v>109</v>
      </c>
    </row>
    <row r="34" customFormat="false" ht="15" hidden="false" customHeight="false" outlineLevel="0" collapsed="false">
      <c r="A34" s="6" t="s">
        <v>110</v>
      </c>
      <c r="B34" s="6" t="s">
        <v>111</v>
      </c>
      <c r="C34" s="7" t="n">
        <v>45</v>
      </c>
      <c r="D34" s="6" t="n">
        <v>45</v>
      </c>
      <c r="E34" s="6" t="n">
        <v>50</v>
      </c>
      <c r="F34" s="6" t="s">
        <v>100</v>
      </c>
      <c r="G34" s="6" t="s">
        <v>111</v>
      </c>
    </row>
    <row r="35" customFormat="false" ht="15" hidden="false" customHeight="false" outlineLevel="0" collapsed="false">
      <c r="A35" s="6" t="s">
        <v>112</v>
      </c>
      <c r="B35" s="6" t="s">
        <v>113</v>
      </c>
      <c r="C35" s="7" t="n">
        <v>10</v>
      </c>
      <c r="D35" s="6" t="n">
        <v>10</v>
      </c>
      <c r="E35" s="6" t="n">
        <v>14</v>
      </c>
      <c r="F35" s="6" t="s">
        <v>100</v>
      </c>
      <c r="G35" s="6" t="s">
        <v>114</v>
      </c>
    </row>
    <row r="36" customFormat="false" ht="15" hidden="false" customHeight="false" outlineLevel="0" collapsed="false">
      <c r="A36" s="6" t="s">
        <v>115</v>
      </c>
      <c r="B36" s="6" t="s">
        <v>116</v>
      </c>
      <c r="C36" s="7" t="n">
        <v>8.314</v>
      </c>
      <c r="D36" s="6" t="n">
        <v>8.314</v>
      </c>
      <c r="E36" s="6" t="n">
        <v>8.314</v>
      </c>
      <c r="F36" s="6" t="s">
        <v>117</v>
      </c>
      <c r="G36" s="6" t="s">
        <v>118</v>
      </c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</row>
    <row r="38" customFormat="false" ht="15" hidden="false" customHeight="false" outlineLevel="0" collapsed="false">
      <c r="A38" s="8" t="s">
        <v>119</v>
      </c>
      <c r="B38" s="4"/>
      <c r="C38" s="4"/>
      <c r="D38" s="4"/>
      <c r="E38" s="4"/>
      <c r="F38" s="4"/>
      <c r="G38" s="4"/>
    </row>
  </sheetData>
  <dataValidations count="1">
    <dataValidation allowBlank="false" errorStyle="stop" operator="between" showDropDown="false" showErrorMessage="false" showInputMessage="false" sqref="C5" type="list">
      <formula1>"MAS,MAC"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56"/>
    <col collapsed="false" customWidth="true" hidden="false" outlineLevel="0" max="5" min="5" style="0" width="15"/>
    <col collapsed="false" customWidth="true" hidden="false" outlineLevel="0" max="6" min="6" style="0" width="13"/>
  </cols>
  <sheetData>
    <row r="1" customFormat="false" ht="16.15" hidden="false" customHeight="false" outlineLevel="0" collapsed="false">
      <c r="A1" s="3" t="s">
        <v>120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</row>
    <row r="3" customFormat="false" ht="15" hidden="false" customHeight="false" outlineLevel="0" collapsed="false">
      <c r="A3" s="5" t="s">
        <v>121</v>
      </c>
      <c r="B3" s="5" t="s">
        <v>15</v>
      </c>
      <c r="C3" s="5" t="s">
        <v>16</v>
      </c>
      <c r="D3" s="5" t="s">
        <v>122</v>
      </c>
      <c r="E3" s="5" t="s">
        <v>123</v>
      </c>
      <c r="F3" s="5" t="s">
        <v>20</v>
      </c>
    </row>
    <row r="4" customFormat="false" ht="15" hidden="false" customHeight="false" outlineLevel="0" collapsed="false">
      <c r="A4" s="9" t="s">
        <v>124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6" t="n">
        <v>1</v>
      </c>
      <c r="B5" s="6" t="s">
        <v>125</v>
      </c>
      <c r="C5" s="6" t="s">
        <v>126</v>
      </c>
      <c r="D5" s="6" t="s">
        <v>127</v>
      </c>
      <c r="E5" s="11" t="n">
        <f aca="false">c_f/12+h_f/4-o_f/32</f>
        <v>0.1075</v>
      </c>
      <c r="F5" s="6" t="s">
        <v>128</v>
      </c>
    </row>
    <row r="6" customFormat="false" ht="15" hidden="false" customHeight="false" outlineLevel="0" collapsed="false">
      <c r="A6" s="6" t="n">
        <v>2</v>
      </c>
      <c r="B6" s="6" t="s">
        <v>129</v>
      </c>
      <c r="C6" s="6" t="s">
        <v>130</v>
      </c>
      <c r="D6" s="6" t="s">
        <v>131</v>
      </c>
      <c r="E6" s="11" t="n">
        <f aca="false">O_t/0.21</f>
        <v>0.511904761904762</v>
      </c>
      <c r="F6" s="6" t="s">
        <v>128</v>
      </c>
    </row>
    <row r="7" customFormat="false" ht="15" hidden="false" customHeight="false" outlineLevel="0" collapsed="false">
      <c r="A7" s="6" t="n">
        <v>3</v>
      </c>
      <c r="B7" s="6" t="s">
        <v>132</v>
      </c>
      <c r="C7" s="6" t="s">
        <v>133</v>
      </c>
      <c r="D7" s="6" t="s">
        <v>134</v>
      </c>
      <c r="E7" s="11" t="n">
        <f aca="false">alfa*L_t</f>
        <v>0.511904761904762</v>
      </c>
      <c r="F7" s="6" t="s">
        <v>128</v>
      </c>
    </row>
    <row r="8" customFormat="false" ht="15" hidden="false" customHeight="false" outlineLevel="0" collapsed="false">
      <c r="A8" s="6" t="n">
        <v>4</v>
      </c>
      <c r="B8" s="6" t="s">
        <v>135</v>
      </c>
      <c r="C8" s="6" t="s">
        <v>136</v>
      </c>
      <c r="D8" s="6" t="s">
        <v>137</v>
      </c>
      <c r="E8" s="11" t="n">
        <f aca="false">L_a+IF(tip="MAS",1/M_c,0)</f>
        <v>0.520676691729323</v>
      </c>
      <c r="F8" s="6" t="s">
        <v>128</v>
      </c>
    </row>
    <row r="9" customFormat="false" ht="15" hidden="false" customHeight="false" outlineLevel="0" collapsed="false">
      <c r="A9" s="6" t="n">
        <v>5</v>
      </c>
      <c r="B9" s="6" t="s">
        <v>138</v>
      </c>
      <c r="C9" s="6" t="s">
        <v>139</v>
      </c>
      <c r="D9" s="6" t="s">
        <v>140</v>
      </c>
      <c r="E9" s="11" t="n">
        <f aca="false">c_f/12</f>
        <v>0.07125</v>
      </c>
      <c r="F9" s="6" t="s">
        <v>128</v>
      </c>
    </row>
    <row r="10" customFormat="false" ht="15" hidden="false" customHeight="false" outlineLevel="0" collapsed="false">
      <c r="A10" s="6" t="n">
        <v>6</v>
      </c>
      <c r="B10" s="6" t="s">
        <v>141</v>
      </c>
      <c r="C10" s="6" t="s">
        <v>142</v>
      </c>
      <c r="D10" s="6" t="s">
        <v>143</v>
      </c>
      <c r="E10" s="11" t="n">
        <f aca="false">h_f/2</f>
        <v>0.0725</v>
      </c>
      <c r="F10" s="6" t="s">
        <v>128</v>
      </c>
    </row>
    <row r="11" customFormat="false" ht="15" hidden="false" customHeight="false" outlineLevel="0" collapsed="false">
      <c r="A11" s="6" t="n">
        <v>7</v>
      </c>
      <c r="B11" s="6" t="s">
        <v>144</v>
      </c>
      <c r="C11" s="6" t="s">
        <v>145</v>
      </c>
      <c r="D11" s="6" t="s">
        <v>146</v>
      </c>
      <c r="E11" s="11" t="n">
        <f aca="false">0.21*(alfa-1)*L_t</f>
        <v>0</v>
      </c>
      <c r="F11" s="6" t="s">
        <v>128</v>
      </c>
    </row>
    <row r="12" customFormat="false" ht="15" hidden="false" customHeight="false" outlineLevel="0" collapsed="false">
      <c r="A12" s="6" t="n">
        <v>8</v>
      </c>
      <c r="B12" s="6" t="s">
        <v>147</v>
      </c>
      <c r="C12" s="6" t="s">
        <v>148</v>
      </c>
      <c r="D12" s="6" t="s">
        <v>149</v>
      </c>
      <c r="E12" s="11" t="n">
        <f aca="false">0.79*L_a</f>
        <v>0.404404761904762</v>
      </c>
      <c r="F12" s="6" t="s">
        <v>128</v>
      </c>
    </row>
    <row r="13" customFormat="false" ht="15" hidden="false" customHeight="false" outlineLevel="0" collapsed="false">
      <c r="A13" s="6" t="n">
        <v>9</v>
      </c>
      <c r="B13" s="6" t="s">
        <v>150</v>
      </c>
      <c r="C13" s="6" t="s">
        <v>151</v>
      </c>
      <c r="D13" s="6" t="s">
        <v>152</v>
      </c>
      <c r="E13" s="11" t="n">
        <f aca="false">g_CO2+g_H2O+g_O2+g_N2</f>
        <v>0.548154761904762</v>
      </c>
      <c r="F13" s="6" t="s">
        <v>128</v>
      </c>
    </row>
    <row r="14" customFormat="false" ht="15" hidden="false" customHeight="false" outlineLevel="0" collapsed="false">
      <c r="A14" s="6" t="n">
        <v>10</v>
      </c>
      <c r="B14" s="6" t="s">
        <v>153</v>
      </c>
      <c r="C14" s="6" t="s">
        <v>154</v>
      </c>
      <c r="D14" s="6" t="s">
        <v>155</v>
      </c>
      <c r="E14" s="11" t="n">
        <f aca="false">M_2/M_1</f>
        <v>1.05277376654633</v>
      </c>
      <c r="F14" s="6" t="s">
        <v>26</v>
      </c>
    </row>
    <row r="15" customFormat="false" ht="15" hidden="false" customHeight="false" outlineLevel="0" collapsed="false">
      <c r="A15" s="9" t="s">
        <v>156</v>
      </c>
      <c r="B15" s="10"/>
      <c r="C15" s="10"/>
      <c r="D15" s="10"/>
      <c r="E15" s="10"/>
      <c r="F15" s="10"/>
    </row>
    <row r="16" customFormat="false" ht="15" hidden="false" customHeight="false" outlineLevel="0" collapsed="false">
      <c r="A16" s="6" t="n">
        <v>11</v>
      </c>
      <c r="B16" s="6" t="s">
        <v>157</v>
      </c>
      <c r="C16" s="6" t="s">
        <v>158</v>
      </c>
      <c r="D16" s="6" t="s">
        <v>159</v>
      </c>
      <c r="E16" s="11" t="n">
        <f aca="false">g_r*M_1</f>
        <v>0.0312406015037594</v>
      </c>
      <c r="F16" s="6" t="s">
        <v>128</v>
      </c>
    </row>
    <row r="17" customFormat="false" ht="15" hidden="false" customHeight="false" outlineLevel="0" collapsed="false">
      <c r="A17" s="6" t="n">
        <v>12</v>
      </c>
      <c r="B17" s="6" t="s">
        <v>160</v>
      </c>
      <c r="C17" s="6" t="s">
        <v>161</v>
      </c>
      <c r="D17" s="6" t="s">
        <v>162</v>
      </c>
      <c r="E17" s="11" t="n">
        <f aca="false">M_r*g_CO2/M_2</f>
        <v>0.0040607014876751</v>
      </c>
      <c r="F17" s="6" t="s">
        <v>128</v>
      </c>
    </row>
    <row r="18" customFormat="false" ht="15" hidden="false" customHeight="false" outlineLevel="0" collapsed="false">
      <c r="A18" s="6" t="n">
        <v>13</v>
      </c>
      <c r="B18" s="6" t="s">
        <v>163</v>
      </c>
      <c r="C18" s="6" t="s">
        <v>164</v>
      </c>
      <c r="D18" s="6" t="s">
        <v>165</v>
      </c>
      <c r="E18" s="11" t="n">
        <f aca="false">M_r*g_H2O/M_2</f>
        <v>0.00413194186465186</v>
      </c>
      <c r="F18" s="6" t="s">
        <v>128</v>
      </c>
    </row>
    <row r="19" customFormat="false" ht="15" hidden="false" customHeight="false" outlineLevel="0" collapsed="false">
      <c r="A19" s="6" t="n">
        <v>14</v>
      </c>
      <c r="B19" s="6" t="s">
        <v>166</v>
      </c>
      <c r="C19" s="6" t="s">
        <v>167</v>
      </c>
      <c r="D19" s="6" t="s">
        <v>168</v>
      </c>
      <c r="E19" s="11" t="n">
        <f aca="false">M_r*g_O2/M_2</f>
        <v>0</v>
      </c>
      <c r="F19" s="6" t="s">
        <v>128</v>
      </c>
    </row>
    <row r="20" customFormat="false" ht="15" hidden="false" customHeight="false" outlineLevel="0" collapsed="false">
      <c r="A20" s="6" t="n">
        <v>15</v>
      </c>
      <c r="B20" s="6" t="s">
        <v>169</v>
      </c>
      <c r="C20" s="6" t="s">
        <v>170</v>
      </c>
      <c r="D20" s="6" t="s">
        <v>171</v>
      </c>
      <c r="E20" s="11" t="n">
        <f aca="false">M_r*g_N2/M_2</f>
        <v>0.0230479581514324</v>
      </c>
      <c r="F20" s="6" t="s">
        <v>128</v>
      </c>
    </row>
    <row r="21" customFormat="false" ht="15" hidden="false" customHeight="false" outlineLevel="0" collapsed="false">
      <c r="A21" s="9" t="s">
        <v>172</v>
      </c>
      <c r="B21" s="10"/>
      <c r="C21" s="10"/>
      <c r="D21" s="10"/>
      <c r="E21" s="10"/>
      <c r="F21" s="10"/>
    </row>
    <row r="22" customFormat="false" ht="15" hidden="false" customHeight="false" outlineLevel="0" collapsed="false">
      <c r="A22" s="6" t="n">
        <v>16</v>
      </c>
      <c r="B22" s="6" t="s">
        <v>173</v>
      </c>
      <c r="C22" s="6" t="s">
        <v>174</v>
      </c>
      <c r="D22" s="6" t="s">
        <v>161</v>
      </c>
      <c r="E22" s="11" t="n">
        <f aca="false">r_CO2</f>
        <v>0.0040607014876751</v>
      </c>
      <c r="F22" s="6" t="s">
        <v>128</v>
      </c>
    </row>
    <row r="23" customFormat="false" ht="15" hidden="false" customHeight="false" outlineLevel="0" collapsed="false">
      <c r="A23" s="6" t="n">
        <v>17</v>
      </c>
      <c r="B23" s="6" t="s">
        <v>175</v>
      </c>
      <c r="C23" s="6" t="s">
        <v>176</v>
      </c>
      <c r="D23" s="6" t="s">
        <v>164</v>
      </c>
      <c r="E23" s="11" t="n">
        <f aca="false">r_H2O</f>
        <v>0.00413194186465186</v>
      </c>
      <c r="F23" s="6" t="s">
        <v>128</v>
      </c>
    </row>
    <row r="24" customFormat="false" ht="15" hidden="false" customHeight="false" outlineLevel="0" collapsed="false">
      <c r="A24" s="6" t="n">
        <v>18</v>
      </c>
      <c r="B24" s="6" t="s">
        <v>177</v>
      </c>
      <c r="C24" s="6" t="s">
        <v>178</v>
      </c>
      <c r="D24" s="6" t="s">
        <v>179</v>
      </c>
      <c r="E24" s="11" t="n">
        <f aca="false">0.21*M_1+r_O2</f>
        <v>0.109342105263158</v>
      </c>
      <c r="F24" s="6" t="s">
        <v>128</v>
      </c>
    </row>
    <row r="25" customFormat="false" ht="15" hidden="false" customHeight="false" outlineLevel="0" collapsed="false">
      <c r="A25" s="6" t="n">
        <v>19</v>
      </c>
      <c r="B25" s="6" t="s">
        <v>147</v>
      </c>
      <c r="C25" s="6" t="s">
        <v>180</v>
      </c>
      <c r="D25" s="6" t="s">
        <v>181</v>
      </c>
      <c r="E25" s="11" t="n">
        <f aca="false">0.79*M_1+r_N2</f>
        <v>0.434382544617598</v>
      </c>
      <c r="F25" s="6" t="s">
        <v>128</v>
      </c>
    </row>
    <row r="26" customFormat="false" ht="15" hidden="false" customHeight="false" outlineLevel="0" collapsed="false">
      <c r="A26" s="6" t="n">
        <v>20</v>
      </c>
      <c r="B26" s="6" t="s">
        <v>182</v>
      </c>
      <c r="C26" s="6" t="s">
        <v>183</v>
      </c>
      <c r="D26" s="6" t="s">
        <v>184</v>
      </c>
      <c r="E26" s="11" t="n">
        <f aca="false">M_1+M_r</f>
        <v>0.551917293233083</v>
      </c>
      <c r="F26" s="6" t="s">
        <v>128</v>
      </c>
    </row>
    <row r="27" customFormat="false" ht="15" hidden="false" customHeight="false" outlineLevel="0" collapsed="false">
      <c r="A27" s="9" t="s">
        <v>185</v>
      </c>
      <c r="B27" s="10"/>
      <c r="C27" s="10"/>
      <c r="D27" s="10"/>
      <c r="E27" s="10"/>
      <c r="F27" s="10"/>
    </row>
    <row r="28" customFormat="false" ht="15" hidden="false" customHeight="false" outlineLevel="0" collapsed="false">
      <c r="A28" s="6" t="n">
        <v>21</v>
      </c>
      <c r="B28" s="6" t="s">
        <v>186</v>
      </c>
      <c r="C28" s="6" t="s">
        <v>187</v>
      </c>
      <c r="D28" s="6" t="s">
        <v>188</v>
      </c>
      <c r="E28" s="12" t="n">
        <f aca="false">T_s+dT</f>
        <v>310</v>
      </c>
      <c r="F28" s="6" t="s">
        <v>60</v>
      </c>
    </row>
    <row r="29" customFormat="false" ht="15" hidden="false" customHeight="false" outlineLevel="0" collapsed="false">
      <c r="A29" s="6" t="n">
        <v>22</v>
      </c>
      <c r="B29" s="6" t="s">
        <v>189</v>
      </c>
      <c r="C29" s="6" t="s">
        <v>190</v>
      </c>
      <c r="D29" s="6" t="s">
        <v>191</v>
      </c>
      <c r="E29" s="12" t="n">
        <f aca="false">(T_in+g_r*T_r)/(1+g_r)</f>
        <v>351.320754716981</v>
      </c>
      <c r="F29" s="6" t="s">
        <v>60</v>
      </c>
    </row>
    <row r="30" customFormat="false" ht="15" hidden="false" customHeight="false" outlineLevel="0" collapsed="false">
      <c r="A30" s="6" t="n">
        <v>23</v>
      </c>
      <c r="B30" s="6" t="s">
        <v>192</v>
      </c>
      <c r="C30" s="6" t="s">
        <v>193</v>
      </c>
      <c r="D30" s="6" t="s">
        <v>194</v>
      </c>
      <c r="E30" s="12" t="n">
        <f aca="false">M_1*(0.21*(INDEX(Tabele!$H$5:$H$71,MATCH(T_in,Tabele!$A$5:$A$71,1))+(T_in-INDEX(Tabele!$A$5:$A$71,MATCH(T_in,Tabele!$A$5:$A$71,1)))*(INDEX(Tabele!$H$5:$H$71,MATCH(T_in,Tabele!$A$5:$A$71,1)+1)-INDEX(Tabele!$H$5:$H$71,MATCH(T_in,Tabele!$A$5:$A$71,1)))/50)+0.79*(INDEX(Tabele!$I$5:$I$71,MATCH(T_in,Tabele!$A$5:$A$71,1))+(T_in-INDEX(Tabele!$A$5:$A$71,MATCH(T_in,Tabele!$A$5:$A$71,1)))*(INDEX(Tabele!$I$5:$I$71,MATCH(T_in,Tabele!$A$5:$A$71,1)+1)-INDEX(Tabele!$I$5:$I$71,MATCH(T_in,Tabele!$A$5:$A$71,1)))/50))+r_CO2*(INDEX(Tabele!$F$5:$F$71,MATCH(T_r,Tabele!$A$5:$A$71,1))+(T_r-INDEX(Tabele!$A$5:$A$71,MATCH(T_r,Tabele!$A$5:$A$71,1)))*(INDEX(Tabele!$F$5:$F$71,MATCH(T_r,Tabele!$A$5:$A$71,1)+1)-INDEX(Tabele!$F$5:$F$71,MATCH(T_r,Tabele!$A$5:$A$71,1)))/50)+r_H2O*(INDEX(Tabele!$G$5:$G$71,MATCH(T_r,Tabele!$A$5:$A$71,1))+(T_r-INDEX(Tabele!$A$5:$A$71,MATCH(T_r,Tabele!$A$5:$A$71,1)))*(INDEX(Tabele!$G$5:$G$71,MATCH(T_r,Tabele!$A$5:$A$71,1)+1)-INDEX(Tabele!$G$5:$G$71,MATCH(T_r,Tabele!$A$5:$A$71,1)))/50)+r_O2*(INDEX(Tabele!$H$5:$H$71,MATCH(T_r,Tabele!$A$5:$A$71,1))+(T_r-INDEX(Tabele!$A$5:$A$71,MATCH(T_r,Tabele!$A$5:$A$71,1)))*(INDEX(Tabele!$H$5:$H$71,MATCH(T_r,Tabele!$A$5:$A$71,1)+1)-INDEX(Tabele!$H$5:$H$71,MATCH(T_r,Tabele!$A$5:$A$71,1)))/50)+r_N2*(INDEX(Tabele!$I$5:$I$71,MATCH(T_r,Tabele!$A$5:$A$71,1))+(T_r-INDEX(Tabele!$A$5:$A$71,MATCH(T_r,Tabele!$A$5:$A$71,1)))*(INDEX(Tabele!$I$5:$I$71,MATCH(T_r,Tabele!$A$5:$A$71,1)+1)-INDEX(Tabele!$I$5:$I$71,MATCH(T_r,Tabele!$A$5:$A$71,1)))/50)</f>
        <v>5758.60711768452</v>
      </c>
      <c r="F30" s="6" t="s">
        <v>195</v>
      </c>
    </row>
    <row r="31" customFormat="false" ht="15" hidden="false" customHeight="false" outlineLevel="0" collapsed="false">
      <c r="A31" s="6" t="n">
        <v>24</v>
      </c>
      <c r="B31" s="6" t="s">
        <v>196</v>
      </c>
      <c r="C31" s="6" t="s">
        <v>197</v>
      </c>
      <c r="D31" s="6" t="s">
        <v>198</v>
      </c>
      <c r="E31" s="12" t="n">
        <f aca="false">Amestecuri!C3</f>
        <v>357.693868569894</v>
      </c>
      <c r="F31" s="6" t="s">
        <v>60</v>
      </c>
    </row>
    <row r="32" customFormat="false" ht="15" hidden="false" customHeight="false" outlineLevel="0" collapsed="false">
      <c r="A32" s="6" t="n">
        <v>25</v>
      </c>
      <c r="B32" s="6" t="s">
        <v>199</v>
      </c>
      <c r="C32" s="6" t="s">
        <v>200</v>
      </c>
      <c r="D32" s="6" t="s">
        <v>201</v>
      </c>
      <c r="E32" s="13" t="n">
        <f aca="false">ABS(T_a_h-T_a)/T_a*100</f>
        <v>1.81404422236518</v>
      </c>
      <c r="F32" s="6" t="s">
        <v>202</v>
      </c>
    </row>
    <row r="33" customFormat="false" ht="15" hidden="false" customHeight="false" outlineLevel="0" collapsed="false">
      <c r="A33" s="6" t="n">
        <v>26</v>
      </c>
      <c r="B33" s="6" t="s">
        <v>203</v>
      </c>
      <c r="C33" s="6" t="s">
        <v>204</v>
      </c>
      <c r="D33" s="6" t="s">
        <v>205</v>
      </c>
      <c r="E33" s="11" t="n">
        <f aca="false">xi_a*p_s</f>
        <v>0.086</v>
      </c>
      <c r="F33" s="6" t="s">
        <v>57</v>
      </c>
    </row>
    <row r="34" customFormat="false" ht="15" hidden="false" customHeight="false" outlineLevel="0" collapsed="false">
      <c r="A34" s="6" t="n">
        <v>27</v>
      </c>
      <c r="B34" s="6" t="s">
        <v>206</v>
      </c>
      <c r="C34" s="6" t="s">
        <v>207</v>
      </c>
      <c r="D34" s="6" t="s">
        <v>208</v>
      </c>
      <c r="E34" s="11" t="n">
        <f aca="false">eps/(eps-1)*p_a/p_s*T_s/(T_a*(1+g_r))</f>
        <v>0.769147659063626</v>
      </c>
      <c r="F34" s="6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56"/>
    <col collapsed="false" customWidth="true" hidden="false" outlineLevel="0" max="5" min="5" style="0" width="15"/>
    <col collapsed="false" customWidth="true" hidden="false" outlineLevel="0" max="6" min="6" style="0" width="13"/>
  </cols>
  <sheetData>
    <row r="1" customFormat="false" ht="16.15" hidden="false" customHeight="false" outlineLevel="0" collapsed="false">
      <c r="A1" s="3" t="s">
        <v>209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</row>
    <row r="3" customFormat="false" ht="15" hidden="false" customHeight="false" outlineLevel="0" collapsed="false">
      <c r="A3" s="5" t="s">
        <v>121</v>
      </c>
      <c r="B3" s="5" t="s">
        <v>15</v>
      </c>
      <c r="C3" s="5" t="s">
        <v>16</v>
      </c>
      <c r="D3" s="5" t="s">
        <v>122</v>
      </c>
      <c r="E3" s="5" t="s">
        <v>123</v>
      </c>
      <c r="F3" s="5" t="s">
        <v>20</v>
      </c>
    </row>
    <row r="4" customFormat="false" ht="15" hidden="false" customHeight="false" outlineLevel="0" collapsed="false">
      <c r="A4" s="9" t="s">
        <v>210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6" t="n">
        <v>1</v>
      </c>
      <c r="B5" s="6" t="s">
        <v>211</v>
      </c>
      <c r="C5" s="6" t="s">
        <v>212</v>
      </c>
      <c r="D5" s="6" t="s">
        <v>213</v>
      </c>
      <c r="E5" s="11" t="n">
        <f aca="false">INTERCEPT(Amestecuri!H7:H21,Amestecuri!A7:A21)</f>
        <v>20.0552042720183</v>
      </c>
      <c r="F5" s="6" t="s">
        <v>117</v>
      </c>
    </row>
    <row r="6" customFormat="false" ht="15" hidden="false" customHeight="false" outlineLevel="0" collapsed="false">
      <c r="A6" s="6" t="n">
        <v>2</v>
      </c>
      <c r="B6" s="6" t="s">
        <v>214</v>
      </c>
      <c r="C6" s="6" t="s">
        <v>215</v>
      </c>
      <c r="D6" s="6" t="s">
        <v>216</v>
      </c>
      <c r="E6" s="14" t="n">
        <f aca="false">SLOPE(Amestecuri!H7:H21,Amestecuri!A7:A21)</f>
        <v>0.00203104342082463</v>
      </c>
      <c r="F6" s="6" t="s">
        <v>217</v>
      </c>
    </row>
    <row r="7" customFormat="false" ht="15" hidden="false" customHeight="false" outlineLevel="0" collapsed="false">
      <c r="A7" s="9" t="s">
        <v>218</v>
      </c>
      <c r="B7" s="10"/>
      <c r="C7" s="10"/>
      <c r="D7" s="10"/>
      <c r="E7" s="10"/>
      <c r="F7" s="10"/>
    </row>
    <row r="8" customFormat="false" ht="15" hidden="false" customHeight="false" outlineLevel="0" collapsed="false">
      <c r="A8" s="6" t="n">
        <v>3</v>
      </c>
      <c r="B8" s="6" t="s">
        <v>219</v>
      </c>
      <c r="C8" s="6" t="s">
        <v>220</v>
      </c>
      <c r="D8" s="6" t="s">
        <v>221</v>
      </c>
      <c r="E8" s="11" t="n">
        <f aca="false">1.37</f>
        <v>1.37</v>
      </c>
      <c r="F8" s="6" t="s">
        <v>26</v>
      </c>
    </row>
    <row r="9" customFormat="false" ht="15" hidden="false" customHeight="false" outlineLevel="0" collapsed="false">
      <c r="A9" s="6" t="n">
        <v>4</v>
      </c>
      <c r="B9" s="6" t="s">
        <v>222</v>
      </c>
      <c r="C9" s="6" t="s">
        <v>223</v>
      </c>
      <c r="D9" s="6" t="s">
        <v>224</v>
      </c>
      <c r="E9" s="11" t="n">
        <f aca="false">1+R_u/(a_1+b_1*T_a*(eps^(n1_0-1)+1))</f>
        <v>1.37099468270134</v>
      </c>
      <c r="F9" s="6" t="s">
        <v>26</v>
      </c>
    </row>
    <row r="10" customFormat="false" ht="15" hidden="false" customHeight="false" outlineLevel="0" collapsed="false">
      <c r="A10" s="6" t="n">
        <v>5</v>
      </c>
      <c r="B10" s="6" t="s">
        <v>225</v>
      </c>
      <c r="C10" s="6" t="s">
        <v>226</v>
      </c>
      <c r="D10" s="6" t="s">
        <v>224</v>
      </c>
      <c r="E10" s="11" t="n">
        <f aca="false">1+R_u/(a_1+b_1*T_a*(eps^(n1_1-1)+1))</f>
        <v>1.37093377986672</v>
      </c>
      <c r="F10" s="6" t="s">
        <v>26</v>
      </c>
    </row>
    <row r="11" customFormat="false" ht="15" hidden="false" customHeight="false" outlineLevel="0" collapsed="false">
      <c r="A11" s="6" t="n">
        <v>6</v>
      </c>
      <c r="B11" s="6" t="s">
        <v>227</v>
      </c>
      <c r="C11" s="6" t="s">
        <v>228</v>
      </c>
      <c r="D11" s="6" t="s">
        <v>224</v>
      </c>
      <c r="E11" s="11" t="n">
        <f aca="false">1+R_u/(a_1+b_1*T_a*(eps^(n1_2-1)+1))</f>
        <v>1.3709375121957</v>
      </c>
      <c r="F11" s="6" t="s">
        <v>26</v>
      </c>
    </row>
    <row r="12" customFormat="false" ht="15" hidden="false" customHeight="false" outlineLevel="0" collapsed="false">
      <c r="A12" s="6" t="n">
        <v>7</v>
      </c>
      <c r="B12" s="6" t="s">
        <v>229</v>
      </c>
      <c r="C12" s="6" t="s">
        <v>230</v>
      </c>
      <c r="D12" s="6" t="s">
        <v>224</v>
      </c>
      <c r="E12" s="11" t="n">
        <f aca="false">1+R_u/(a_1+b_1*T_a*(eps^(n1_3-1)+1))</f>
        <v>1.37093728347868</v>
      </c>
      <c r="F12" s="6" t="s">
        <v>26</v>
      </c>
    </row>
    <row r="13" customFormat="false" ht="15" hidden="false" customHeight="false" outlineLevel="0" collapsed="false">
      <c r="A13" s="6" t="n">
        <v>8</v>
      </c>
      <c r="B13" s="6" t="s">
        <v>231</v>
      </c>
      <c r="C13" s="6" t="s">
        <v>232</v>
      </c>
      <c r="D13" s="6" t="s">
        <v>224</v>
      </c>
      <c r="E13" s="11" t="n">
        <f aca="false">1+R_u/(a_1+b_1*T_a*(eps^(n1_4-1)+1))</f>
        <v>1.3709372974945</v>
      </c>
      <c r="F13" s="6" t="s">
        <v>26</v>
      </c>
    </row>
    <row r="14" customFormat="false" ht="15" hidden="false" customHeight="false" outlineLevel="0" collapsed="false">
      <c r="A14" s="6" t="n">
        <v>9</v>
      </c>
      <c r="B14" s="6" t="s">
        <v>233</v>
      </c>
      <c r="C14" s="6" t="s">
        <v>234</v>
      </c>
      <c r="D14" s="6" t="s">
        <v>224</v>
      </c>
      <c r="E14" s="11" t="n">
        <f aca="false">1+R_u/(a_1+b_1*T_a*(eps^(n1_5-1)+1))</f>
        <v>1.37093729663561</v>
      </c>
      <c r="F14" s="6" t="s">
        <v>26</v>
      </c>
    </row>
    <row r="15" customFormat="false" ht="15" hidden="false" customHeight="false" outlineLevel="0" collapsed="false">
      <c r="A15" s="6" t="n">
        <v>10</v>
      </c>
      <c r="B15" s="6" t="s">
        <v>235</v>
      </c>
      <c r="C15" s="6" t="s">
        <v>236</v>
      </c>
      <c r="D15" s="6" t="s">
        <v>224</v>
      </c>
      <c r="E15" s="11" t="n">
        <f aca="false">1+R_u/(a_1+b_1*T_a*(eps^(n1_6-1)+1))</f>
        <v>1.37093729668824</v>
      </c>
      <c r="F15" s="6" t="s">
        <v>26</v>
      </c>
    </row>
    <row r="16" customFormat="false" ht="15" hidden="false" customHeight="false" outlineLevel="0" collapsed="false">
      <c r="A16" s="6" t="n">
        <v>11</v>
      </c>
      <c r="B16" s="6" t="s">
        <v>237</v>
      </c>
      <c r="C16" s="6" t="s">
        <v>238</v>
      </c>
      <c r="D16" s="6" t="s">
        <v>224</v>
      </c>
      <c r="E16" s="11" t="n">
        <f aca="false">1+R_u/(a_1+b_1*T_a*(eps^(n1_7-1)+1))</f>
        <v>1.37093729668501</v>
      </c>
      <c r="F16" s="6" t="s">
        <v>26</v>
      </c>
    </row>
    <row r="17" customFormat="false" ht="15" hidden="false" customHeight="false" outlineLevel="0" collapsed="false">
      <c r="A17" s="6" t="n">
        <v>12</v>
      </c>
      <c r="B17" s="6" t="s">
        <v>239</v>
      </c>
      <c r="C17" s="6" t="s">
        <v>240</v>
      </c>
      <c r="D17" s="6" t="s">
        <v>241</v>
      </c>
      <c r="E17" s="11" t="n">
        <f aca="false">n1_8</f>
        <v>1.37093729668501</v>
      </c>
      <c r="F17" s="6" t="s">
        <v>26</v>
      </c>
    </row>
    <row r="18" customFormat="false" ht="15" hidden="false" customHeight="false" outlineLevel="0" collapsed="false">
      <c r="A18" s="6" t="n">
        <v>13</v>
      </c>
      <c r="B18" s="6" t="s">
        <v>242</v>
      </c>
      <c r="C18" s="6" t="s">
        <v>243</v>
      </c>
      <c r="D18" s="6" t="s">
        <v>244</v>
      </c>
      <c r="E18" s="15" t="n">
        <f aca="false">R_u/(n_1-1)-a_1-b_1*T_a*(eps^(n_1-1)+1)</f>
        <v>1.19499965478553E-011</v>
      </c>
      <c r="F18" s="6" t="s">
        <v>117</v>
      </c>
    </row>
    <row r="19" customFormat="false" ht="15" hidden="false" customHeight="false" outlineLevel="0" collapsed="false">
      <c r="A19" s="9" t="s">
        <v>245</v>
      </c>
      <c r="B19" s="10"/>
      <c r="C19" s="10"/>
      <c r="D19" s="10"/>
      <c r="E19" s="10"/>
      <c r="F19" s="10"/>
    </row>
    <row r="20" customFormat="false" ht="15" hidden="false" customHeight="false" outlineLevel="0" collapsed="false">
      <c r="A20" s="6" t="n">
        <v>14</v>
      </c>
      <c r="B20" s="6" t="s">
        <v>246</v>
      </c>
      <c r="C20" s="6" t="s">
        <v>247</v>
      </c>
      <c r="D20" s="6" t="s">
        <v>248</v>
      </c>
      <c r="E20" s="11" t="n">
        <f aca="false">p_a*eps^n_1</f>
        <v>1.88319896834231</v>
      </c>
      <c r="F20" s="6" t="s">
        <v>57</v>
      </c>
    </row>
    <row r="21" customFormat="false" ht="15" hidden="false" customHeight="false" outlineLevel="0" collapsed="false">
      <c r="A21" s="6" t="n">
        <v>15</v>
      </c>
      <c r="B21" s="6" t="s">
        <v>249</v>
      </c>
      <c r="C21" s="6" t="s">
        <v>250</v>
      </c>
      <c r="D21" s="6" t="s">
        <v>251</v>
      </c>
      <c r="E21" s="12" t="n">
        <f aca="false">T_a*eps^(n_1-1)</f>
        <v>809.800346193711</v>
      </c>
      <c r="F21" s="6" t="s">
        <v>60</v>
      </c>
    </row>
    <row r="22" customFormat="false" ht="15" hidden="false" customHeight="false" outlineLevel="0" collapsed="false">
      <c r="A22" s="6" t="n">
        <v>16</v>
      </c>
      <c r="B22" s="6" t="s">
        <v>252</v>
      </c>
      <c r="C22" s="6" t="s">
        <v>253</v>
      </c>
      <c r="D22" s="6" t="s">
        <v>254</v>
      </c>
      <c r="E22" s="12" t="n">
        <f aca="false">a_CO2*(INDEX(Tabele!$B$5:$B$71,MATCH(T_c,Tabele!$A$5:$A$71,1))+(T_c-INDEX(Tabele!$A$5:$A$71,MATCH(T_c,Tabele!$A$5:$A$71,1)))*(INDEX(Tabele!$B$5:$B$71,MATCH(T_c,Tabele!$A$5:$A$71,1)+1)-INDEX(Tabele!$B$5:$B$71,MATCH(T_c,Tabele!$A$5:$A$71,1)))/50)+a_H2O*(INDEX(Tabele!$C$5:$C$71,MATCH(T_c,Tabele!$A$5:$A$71,1))+(T_c-INDEX(Tabele!$A$5:$A$71,MATCH(T_c,Tabele!$A$5:$A$71,1)))*(INDEX(Tabele!$C$5:$C$71,MATCH(T_c,Tabele!$A$5:$A$71,1)+1)-INDEX(Tabele!$C$5:$C$71,MATCH(T_c,Tabele!$A$5:$A$71,1)))/50)+a_O2*(INDEX(Tabele!$D$5:$D$71,MATCH(T_c,Tabele!$A$5:$A$71,1))+(T_c-INDEX(Tabele!$A$5:$A$71,MATCH(T_c,Tabele!$A$5:$A$71,1)))*(INDEX(Tabele!$D$5:$D$71,MATCH(T_c,Tabele!$A$5:$A$71,1)+1)-INDEX(Tabele!$D$5:$D$71,MATCH(T_c,Tabele!$A$5:$A$71,1)))/50)+a_N2*(INDEX(Tabele!$E$5:$E$71,MATCH(T_c,Tabele!$A$5:$A$71,1))+(T_c-INDEX(Tabele!$A$5:$A$71,MATCH(T_c,Tabele!$A$5:$A$71,1)))*(INDEX(Tabele!$E$5:$E$71,MATCH(T_c,Tabele!$A$5:$A$71,1)+1)-INDEX(Tabele!$E$5:$E$71,MATCH(T_c,Tabele!$A$5:$A$71,1)))/50)</f>
        <v>9687.16196124658</v>
      </c>
      <c r="F22" s="6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56"/>
    <col collapsed="false" customWidth="true" hidden="false" outlineLevel="0" max="5" min="5" style="0" width="15"/>
    <col collapsed="false" customWidth="true" hidden="false" outlineLevel="0" max="6" min="6" style="0" width="13"/>
  </cols>
  <sheetData>
    <row r="1" customFormat="false" ht="16.15" hidden="false" customHeight="false" outlineLevel="0" collapsed="false">
      <c r="A1" s="3" t="s">
        <v>255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</row>
    <row r="3" customFormat="false" ht="15" hidden="false" customHeight="false" outlineLevel="0" collapsed="false">
      <c r="A3" s="5" t="s">
        <v>121</v>
      </c>
      <c r="B3" s="5" t="s">
        <v>15</v>
      </c>
      <c r="C3" s="5" t="s">
        <v>16</v>
      </c>
      <c r="D3" s="5" t="s">
        <v>122</v>
      </c>
      <c r="E3" s="5" t="s">
        <v>123</v>
      </c>
      <c r="F3" s="5" t="s">
        <v>20</v>
      </c>
    </row>
    <row r="4" customFormat="false" ht="15" hidden="false" customHeight="false" outlineLevel="0" collapsed="false">
      <c r="A4" s="9" t="s">
        <v>256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6" t="n">
        <v>1</v>
      </c>
      <c r="B5" s="6" t="s">
        <v>257</v>
      </c>
      <c r="C5" s="6" t="s">
        <v>258</v>
      </c>
      <c r="D5" s="6" t="s">
        <v>259</v>
      </c>
      <c r="E5" s="11" t="n">
        <f aca="false">(1+(eps-1)/2*((1-COS(RADIANS(beta)))+lam/4*(1-COS(RADIANS(2*beta)))))</f>
        <v>1.71814203391614</v>
      </c>
      <c r="F5" s="6" t="s">
        <v>26</v>
      </c>
    </row>
    <row r="6" customFormat="false" ht="15" hidden="false" customHeight="false" outlineLevel="0" collapsed="false">
      <c r="A6" s="6" t="n">
        <v>2</v>
      </c>
      <c r="B6" s="6" t="s">
        <v>260</v>
      </c>
      <c r="C6" s="6" t="s">
        <v>261</v>
      </c>
      <c r="D6" s="6" t="s">
        <v>262</v>
      </c>
      <c r="E6" s="11" t="n">
        <f aca="false">p_a*(eps/v_inj)^n_1</f>
        <v>0.896695460940953</v>
      </c>
      <c r="F6" s="6" t="s">
        <v>57</v>
      </c>
    </row>
    <row r="7" customFormat="false" ht="15" hidden="false" customHeight="false" outlineLevel="0" collapsed="false">
      <c r="A7" s="6" t="n">
        <v>3</v>
      </c>
      <c r="B7" s="6" t="s">
        <v>263</v>
      </c>
      <c r="C7" s="6" t="s">
        <v>264</v>
      </c>
      <c r="D7" s="6" t="s">
        <v>265</v>
      </c>
      <c r="E7" s="12" t="n">
        <f aca="false">T_a*(eps/v_inj)^(n_1-1)</f>
        <v>662.499850725391</v>
      </c>
      <c r="F7" s="6" t="s">
        <v>60</v>
      </c>
    </row>
    <row r="8" customFormat="false" ht="15" hidden="false" customHeight="false" outlineLevel="0" collapsed="false">
      <c r="A8" s="6" t="n">
        <v>4</v>
      </c>
      <c r="B8" s="6" t="s">
        <v>266</v>
      </c>
      <c r="C8" s="6" t="s">
        <v>267</v>
      </c>
      <c r="D8" s="6" t="s">
        <v>268</v>
      </c>
      <c r="E8" s="16" t="n">
        <f aca="false">0.44*(p_inj*10)^(-1.19)*EXP(4650/T_inj)</f>
        <v>36.1461008706381</v>
      </c>
      <c r="F8" s="6" t="s">
        <v>269</v>
      </c>
    </row>
    <row r="9" customFormat="false" ht="15" hidden="false" customHeight="false" outlineLevel="0" collapsed="false">
      <c r="A9" s="6" t="n">
        <v>5</v>
      </c>
      <c r="B9" s="6" t="s">
        <v>270</v>
      </c>
      <c r="C9" s="6" t="s">
        <v>271</v>
      </c>
      <c r="D9" s="6" t="s">
        <v>272</v>
      </c>
      <c r="E9" s="12" t="n">
        <f aca="false">6*n_P*tau_aa/1000</f>
        <v>1192.82132873106</v>
      </c>
      <c r="F9" s="6" t="s">
        <v>100</v>
      </c>
    </row>
    <row r="10" customFormat="false" ht="15" hidden="false" customHeight="false" outlineLevel="0" collapsed="false">
      <c r="A10" s="6" t="n">
        <v>6</v>
      </c>
      <c r="B10" s="6" t="s">
        <v>273</v>
      </c>
      <c r="C10" s="6" t="s">
        <v>274</v>
      </c>
      <c r="D10" s="6" t="s">
        <v>275</v>
      </c>
      <c r="E10" s="11" t="n">
        <f aca="false">IF(tip="MAS",1,MIN(th_aa/th_inj,1))</f>
        <v>1</v>
      </c>
      <c r="F10" s="6" t="s">
        <v>26</v>
      </c>
    </row>
    <row r="11" customFormat="false" ht="15" hidden="false" customHeight="false" outlineLevel="0" collapsed="false">
      <c r="A11" s="6" t="n">
        <v>7</v>
      </c>
      <c r="B11" s="6" t="s">
        <v>276</v>
      </c>
      <c r="C11" s="6" t="s">
        <v>277</v>
      </c>
      <c r="D11" s="6" t="s">
        <v>278</v>
      </c>
      <c r="E11" s="11" t="n">
        <f aca="false">1-g_v</f>
        <v>0</v>
      </c>
      <c r="F11" s="6" t="s">
        <v>26</v>
      </c>
    </row>
    <row r="12" customFormat="false" ht="15" hidden="false" customHeight="false" outlineLevel="0" collapsed="false">
      <c r="A12" s="9" t="s">
        <v>279</v>
      </c>
      <c r="B12" s="10"/>
      <c r="C12" s="10"/>
      <c r="D12" s="10"/>
      <c r="E12" s="10"/>
      <c r="F12" s="10"/>
    </row>
    <row r="13" customFormat="false" ht="15" hidden="false" customHeight="false" outlineLevel="0" collapsed="false">
      <c r="A13" s="6" t="n">
        <v>8</v>
      </c>
      <c r="B13" s="6" t="s">
        <v>173</v>
      </c>
      <c r="C13" s="6" t="s">
        <v>280</v>
      </c>
      <c r="D13" s="6" t="s">
        <v>281</v>
      </c>
      <c r="E13" s="11" t="n">
        <f aca="false">g_v*c_f/12+r_CO2</f>
        <v>0.0753107014876751</v>
      </c>
      <c r="F13" s="6" t="s">
        <v>128</v>
      </c>
    </row>
    <row r="14" customFormat="false" ht="15" hidden="false" customHeight="false" outlineLevel="0" collapsed="false">
      <c r="A14" s="6" t="n">
        <v>9</v>
      </c>
      <c r="B14" s="6" t="s">
        <v>175</v>
      </c>
      <c r="C14" s="6" t="s">
        <v>282</v>
      </c>
      <c r="D14" s="6" t="s">
        <v>283</v>
      </c>
      <c r="E14" s="11" t="n">
        <f aca="false">g_v*h_f/2+r_H2O</f>
        <v>0.0766319418646519</v>
      </c>
      <c r="F14" s="6" t="s">
        <v>128</v>
      </c>
    </row>
    <row r="15" customFormat="false" ht="15" hidden="false" customHeight="false" outlineLevel="0" collapsed="false">
      <c r="A15" s="6" t="n">
        <v>10</v>
      </c>
      <c r="B15" s="6" t="s">
        <v>177</v>
      </c>
      <c r="C15" s="6" t="s">
        <v>284</v>
      </c>
      <c r="D15" s="6" t="s">
        <v>285</v>
      </c>
      <c r="E15" s="11" t="n">
        <f aca="false">0.21*L_a-g_v*O_t+r_O2</f>
        <v>0</v>
      </c>
      <c r="F15" s="6" t="s">
        <v>128</v>
      </c>
    </row>
    <row r="16" customFormat="false" ht="15" hidden="false" customHeight="false" outlineLevel="0" collapsed="false">
      <c r="A16" s="6" t="n">
        <v>11</v>
      </c>
      <c r="B16" s="6" t="s">
        <v>147</v>
      </c>
      <c r="C16" s="6" t="s">
        <v>286</v>
      </c>
      <c r="D16" s="6" t="s">
        <v>287</v>
      </c>
      <c r="E16" s="11" t="n">
        <f aca="false">0.79*L_a+r_N2</f>
        <v>0.427452720056194</v>
      </c>
      <c r="F16" s="6" t="s">
        <v>128</v>
      </c>
    </row>
    <row r="17" customFormat="false" ht="15" hidden="false" customHeight="false" outlineLevel="0" collapsed="false">
      <c r="A17" s="6" t="n">
        <v>12</v>
      </c>
      <c r="B17" s="6" t="s">
        <v>182</v>
      </c>
      <c r="C17" s="6" t="s">
        <v>288</v>
      </c>
      <c r="D17" s="6" t="s">
        <v>289</v>
      </c>
      <c r="E17" s="11" t="n">
        <f aca="false">y_CO2+y_H2O+y_O2+y_N2</f>
        <v>0.579395363408521</v>
      </c>
      <c r="F17" s="6" t="s">
        <v>128</v>
      </c>
    </row>
    <row r="18" customFormat="false" ht="15" hidden="false" customHeight="false" outlineLevel="0" collapsed="false">
      <c r="A18" s="9" t="s">
        <v>290</v>
      </c>
      <c r="B18" s="10"/>
      <c r="C18" s="10"/>
      <c r="D18" s="10"/>
      <c r="E18" s="10"/>
      <c r="F18" s="10"/>
    </row>
    <row r="19" customFormat="false" ht="15" hidden="false" customHeight="false" outlineLevel="0" collapsed="false">
      <c r="A19" s="6" t="n">
        <v>13</v>
      </c>
      <c r="B19" s="6" t="s">
        <v>173</v>
      </c>
      <c r="C19" s="6" t="s">
        <v>291</v>
      </c>
      <c r="D19" s="6" t="s">
        <v>292</v>
      </c>
      <c r="E19" s="11" t="n">
        <f aca="false">g_CO2+r_CO2</f>
        <v>0.0753107014876751</v>
      </c>
      <c r="F19" s="6" t="s">
        <v>128</v>
      </c>
    </row>
    <row r="20" customFormat="false" ht="15" hidden="false" customHeight="false" outlineLevel="0" collapsed="false">
      <c r="A20" s="6" t="n">
        <v>14</v>
      </c>
      <c r="B20" s="6" t="s">
        <v>175</v>
      </c>
      <c r="C20" s="6" t="s">
        <v>293</v>
      </c>
      <c r="D20" s="6" t="s">
        <v>294</v>
      </c>
      <c r="E20" s="11" t="n">
        <f aca="false">g_H2O+r_H2O</f>
        <v>0.0766319418646519</v>
      </c>
      <c r="F20" s="6" t="s">
        <v>128</v>
      </c>
    </row>
    <row r="21" customFormat="false" ht="15" hidden="false" customHeight="false" outlineLevel="0" collapsed="false">
      <c r="A21" s="6" t="n">
        <v>15</v>
      </c>
      <c r="B21" s="6" t="s">
        <v>177</v>
      </c>
      <c r="C21" s="6" t="s">
        <v>295</v>
      </c>
      <c r="D21" s="6" t="s">
        <v>296</v>
      </c>
      <c r="E21" s="11" t="n">
        <f aca="false">g_O2+r_O2</f>
        <v>0</v>
      </c>
      <c r="F21" s="6" t="s">
        <v>128</v>
      </c>
    </row>
    <row r="22" customFormat="false" ht="15" hidden="false" customHeight="false" outlineLevel="0" collapsed="false">
      <c r="A22" s="6" t="n">
        <v>16</v>
      </c>
      <c r="B22" s="6" t="s">
        <v>147</v>
      </c>
      <c r="C22" s="6" t="s">
        <v>297</v>
      </c>
      <c r="D22" s="6" t="s">
        <v>298</v>
      </c>
      <c r="E22" s="11" t="n">
        <f aca="false">g_N2+r_N2</f>
        <v>0.427452720056194</v>
      </c>
      <c r="F22" s="6" t="s">
        <v>128</v>
      </c>
    </row>
    <row r="23" customFormat="false" ht="15" hidden="false" customHeight="false" outlineLevel="0" collapsed="false">
      <c r="A23" s="6" t="n">
        <v>17</v>
      </c>
      <c r="B23" s="6" t="s">
        <v>182</v>
      </c>
      <c r="C23" s="6" t="s">
        <v>299</v>
      </c>
      <c r="D23" s="6" t="s">
        <v>300</v>
      </c>
      <c r="E23" s="11" t="n">
        <f aca="false">z_CO2+z_H2O+z_O2+z_N2</f>
        <v>0.579395363408521</v>
      </c>
      <c r="F23" s="6" t="s">
        <v>128</v>
      </c>
    </row>
    <row r="24" customFormat="false" ht="15" hidden="false" customHeight="false" outlineLevel="0" collapsed="false">
      <c r="A24" s="6" t="n">
        <v>18</v>
      </c>
      <c r="B24" s="6" t="s">
        <v>301</v>
      </c>
      <c r="C24" s="6" t="s">
        <v>302</v>
      </c>
      <c r="D24" s="6" t="s">
        <v>303</v>
      </c>
      <c r="E24" s="11" t="n">
        <f aca="false">M_z/M_a</f>
        <v>1.04978657221352</v>
      </c>
      <c r="F24" s="6" t="s">
        <v>26</v>
      </c>
    </row>
    <row r="25" customFormat="false" ht="15" hidden="false" customHeight="false" outlineLevel="0" collapsed="false">
      <c r="A25" s="9" t="s">
        <v>304</v>
      </c>
      <c r="B25" s="10"/>
      <c r="C25" s="10"/>
      <c r="D25" s="10"/>
      <c r="E25" s="10"/>
      <c r="F25" s="10"/>
    </row>
    <row r="26" customFormat="false" ht="15" hidden="false" customHeight="false" outlineLevel="0" collapsed="false">
      <c r="A26" s="6" t="n">
        <v>19</v>
      </c>
      <c r="B26" s="6" t="s">
        <v>305</v>
      </c>
      <c r="C26" s="6" t="s">
        <v>306</v>
      </c>
      <c r="D26" s="6" t="s">
        <v>307</v>
      </c>
      <c r="E26" s="12" t="n">
        <f aca="false">U_c+g_v*xi_v*Q_i</f>
        <v>47967.1619612466</v>
      </c>
      <c r="F26" s="6" t="s">
        <v>195</v>
      </c>
    </row>
    <row r="27" customFormat="false" ht="15" hidden="false" customHeight="false" outlineLevel="0" collapsed="false">
      <c r="A27" s="6" t="n">
        <v>20</v>
      </c>
      <c r="B27" s="6" t="s">
        <v>308</v>
      </c>
      <c r="C27" s="6" t="s">
        <v>309</v>
      </c>
      <c r="D27" s="6" t="s">
        <v>310</v>
      </c>
      <c r="E27" s="12" t="n">
        <f aca="false">Amestecuri!E3</f>
        <v>2815.83297051384</v>
      </c>
      <c r="F27" s="6" t="s">
        <v>60</v>
      </c>
    </row>
    <row r="28" customFormat="false" ht="15" hidden="false" customHeight="false" outlineLevel="0" collapsed="false">
      <c r="A28" s="6" t="n">
        <v>21</v>
      </c>
      <c r="B28" s="6" t="s">
        <v>311</v>
      </c>
      <c r="C28" s="6" t="s">
        <v>312</v>
      </c>
      <c r="D28" s="6" t="s">
        <v>313</v>
      </c>
      <c r="E28" s="11" t="n">
        <f aca="false">p_c*M_y/M_a*T_y/T_c</f>
        <v>6.87426314307414</v>
      </c>
      <c r="F28" s="6" t="s">
        <v>57</v>
      </c>
    </row>
    <row r="29" customFormat="false" ht="15" hidden="false" customHeight="false" outlineLevel="0" collapsed="false">
      <c r="A29" s="6" t="n">
        <v>22</v>
      </c>
      <c r="B29" s="6" t="s">
        <v>314</v>
      </c>
      <c r="C29" s="6" t="s">
        <v>315</v>
      </c>
      <c r="D29" s="6" t="s">
        <v>316</v>
      </c>
      <c r="E29" s="11" t="n">
        <f aca="false">p_y/p_c</f>
        <v>3.65031165513287</v>
      </c>
      <c r="F29" s="6" t="s">
        <v>26</v>
      </c>
    </row>
    <row r="30" customFormat="false" ht="15" hidden="false" customHeight="false" outlineLevel="0" collapsed="false">
      <c r="A30" s="9" t="s">
        <v>317</v>
      </c>
      <c r="B30" s="10"/>
      <c r="C30" s="10"/>
      <c r="D30" s="10"/>
      <c r="E30" s="10"/>
      <c r="F30" s="10"/>
    </row>
    <row r="31" customFormat="false" ht="15" hidden="false" customHeight="false" outlineLevel="0" collapsed="false">
      <c r="A31" s="6" t="n">
        <v>23</v>
      </c>
      <c r="B31" s="6" t="s">
        <v>318</v>
      </c>
      <c r="C31" s="6" t="s">
        <v>319</v>
      </c>
      <c r="D31" s="6" t="s">
        <v>320</v>
      </c>
      <c r="E31" s="12" t="n">
        <f aca="false">y_CO2*(INDEX(Tabele!$F$5:$F$71,MATCH(T_y,Tabele!$A$5:$A$71,1))+(T_y-INDEX(Tabele!$A$5:$A$71,MATCH(T_y,Tabele!$A$5:$A$71,1)))*(INDEX(Tabele!$F$5:$F$71,MATCH(T_y,Tabele!$A$5:$A$71,1)+1)-INDEX(Tabele!$F$5:$F$71,MATCH(T_y,Tabele!$A$5:$A$71,1)))/50)+y_H2O*(INDEX(Tabele!$G$5:$G$71,MATCH(T_y,Tabele!$A$5:$A$71,1))+(T_y-INDEX(Tabele!$A$5:$A$71,MATCH(T_y,Tabele!$A$5:$A$71,1)))*(INDEX(Tabele!$G$5:$G$71,MATCH(T_y,Tabele!$A$5:$A$71,1)+1)-INDEX(Tabele!$G$5:$G$71,MATCH(T_y,Tabele!$A$5:$A$71,1)))/50)+y_O2*(INDEX(Tabele!$H$5:$H$71,MATCH(T_y,Tabele!$A$5:$A$71,1))+(T_y-INDEX(Tabele!$A$5:$A$71,MATCH(T_y,Tabele!$A$5:$A$71,1)))*(INDEX(Tabele!$H$5:$H$71,MATCH(T_y,Tabele!$A$5:$A$71,1)+1)-INDEX(Tabele!$H$5:$H$71,MATCH(T_y,Tabele!$A$5:$A$71,1)))/50)+y_N2*(INDEX(Tabele!$I$5:$I$71,MATCH(T_y,Tabele!$A$5:$A$71,1))+(T_y-INDEX(Tabele!$A$5:$A$71,MATCH(T_y,Tabele!$A$5:$A$71,1)))*(INDEX(Tabele!$I$5:$I$71,MATCH(T_y,Tabele!$A$5:$A$71,1)+1)-INDEX(Tabele!$I$5:$I$71,MATCH(T_y,Tabele!$A$5:$A$71,1)))/50)</f>
        <v>61532.0154017442</v>
      </c>
      <c r="F31" s="6" t="s">
        <v>195</v>
      </c>
    </row>
    <row r="32" customFormat="false" ht="15" hidden="false" customHeight="false" outlineLevel="0" collapsed="false">
      <c r="A32" s="6" t="n">
        <v>24</v>
      </c>
      <c r="B32" s="6" t="s">
        <v>321</v>
      </c>
      <c r="C32" s="6" t="s">
        <v>322</v>
      </c>
      <c r="D32" s="6" t="s">
        <v>323</v>
      </c>
      <c r="E32" s="12" t="n">
        <f aca="false">I_y+g_p*xi_p*Q_i</f>
        <v>61532.0154017442</v>
      </c>
      <c r="F32" s="6" t="s">
        <v>195</v>
      </c>
    </row>
    <row r="33" customFormat="false" ht="15" hidden="false" customHeight="false" outlineLevel="0" collapsed="false">
      <c r="A33" s="6" t="n">
        <v>25</v>
      </c>
      <c r="B33" s="6" t="s">
        <v>324</v>
      </c>
      <c r="C33" s="6" t="s">
        <v>325</v>
      </c>
      <c r="D33" s="6" t="s">
        <v>326</v>
      </c>
      <c r="E33" s="12" t="n">
        <f aca="false">IF(tip="MAS",T_y,Amestecuri!G3)</f>
        <v>2815.83297051384</v>
      </c>
      <c r="F33" s="6" t="s">
        <v>60</v>
      </c>
    </row>
    <row r="34" customFormat="false" ht="15" hidden="false" customHeight="false" outlineLevel="0" collapsed="false">
      <c r="A34" s="6" t="n">
        <v>26</v>
      </c>
      <c r="B34" s="6" t="s">
        <v>327</v>
      </c>
      <c r="C34" s="6" t="s">
        <v>328</v>
      </c>
      <c r="D34" s="6" t="s">
        <v>329</v>
      </c>
      <c r="E34" s="11" t="n">
        <f aca="false">p_y</f>
        <v>6.87426314307414</v>
      </c>
      <c r="F34" s="6" t="s">
        <v>57</v>
      </c>
    </row>
    <row r="35" customFormat="false" ht="15" hidden="false" customHeight="false" outlineLevel="0" collapsed="false">
      <c r="A35" s="6" t="n">
        <v>27</v>
      </c>
      <c r="B35" s="6" t="s">
        <v>330</v>
      </c>
      <c r="C35" s="6" t="s">
        <v>331</v>
      </c>
      <c r="D35" s="6" t="s">
        <v>332</v>
      </c>
      <c r="E35" s="11" t="n">
        <f aca="false">M_z*T_z/(M_y*T_y)</f>
        <v>1</v>
      </c>
      <c r="F35" s="6" t="s">
        <v>26</v>
      </c>
    </row>
    <row r="36" customFormat="false" ht="15" hidden="false" customHeight="false" outlineLevel="0" collapsed="false">
      <c r="A36" s="6" t="n">
        <v>28</v>
      </c>
      <c r="B36" s="6" t="s">
        <v>333</v>
      </c>
      <c r="C36" s="6" t="s">
        <v>334</v>
      </c>
      <c r="D36" s="6" t="s">
        <v>335</v>
      </c>
      <c r="E36" s="11" t="n">
        <f aca="false">IF(tip="MAS",0.85*p_z,p_z)</f>
        <v>5.84312367161302</v>
      </c>
      <c r="F36" s="6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56"/>
    <col collapsed="false" customWidth="true" hidden="false" outlineLevel="0" max="5" min="5" style="0" width="15"/>
    <col collapsed="false" customWidth="true" hidden="false" outlineLevel="0" max="6" min="6" style="0" width="13"/>
  </cols>
  <sheetData>
    <row r="1" customFormat="false" ht="16.15" hidden="false" customHeight="false" outlineLevel="0" collapsed="false">
      <c r="A1" s="3" t="s">
        <v>336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</row>
    <row r="3" customFormat="false" ht="15" hidden="false" customHeight="false" outlineLevel="0" collapsed="false">
      <c r="A3" s="5" t="s">
        <v>121</v>
      </c>
      <c r="B3" s="5" t="s">
        <v>15</v>
      </c>
      <c r="C3" s="5" t="s">
        <v>16</v>
      </c>
      <c r="D3" s="5" t="s">
        <v>122</v>
      </c>
      <c r="E3" s="5" t="s">
        <v>123</v>
      </c>
      <c r="F3" s="5" t="s">
        <v>20</v>
      </c>
    </row>
    <row r="4" customFormat="false" ht="15" hidden="false" customHeight="false" outlineLevel="0" collapsed="false">
      <c r="A4" s="9" t="s">
        <v>337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6" t="n">
        <v>1</v>
      </c>
      <c r="B5" s="6" t="s">
        <v>338</v>
      </c>
      <c r="C5" s="6" t="s">
        <v>339</v>
      </c>
      <c r="D5" s="6" t="s">
        <v>340</v>
      </c>
      <c r="E5" s="11" t="n">
        <f aca="false">INTERCEPT(Amestecuri!I19:I57,Amestecuri!A19:A57)</f>
        <v>21.6136467626087</v>
      </c>
      <c r="F5" s="6" t="s">
        <v>117</v>
      </c>
    </row>
    <row r="6" customFormat="false" ht="15" hidden="false" customHeight="false" outlineLevel="0" collapsed="false">
      <c r="A6" s="6" t="n">
        <v>2</v>
      </c>
      <c r="B6" s="6" t="s">
        <v>341</v>
      </c>
      <c r="C6" s="6" t="s">
        <v>342</v>
      </c>
      <c r="D6" s="6" t="s">
        <v>343</v>
      </c>
      <c r="E6" s="14" t="n">
        <f aca="false">SLOPE(Amestecuri!I19:I57,Amestecuri!A19:A57)</f>
        <v>0.00290645426226485</v>
      </c>
      <c r="F6" s="6" t="s">
        <v>217</v>
      </c>
    </row>
    <row r="7" customFormat="false" ht="15" hidden="false" customHeight="false" outlineLevel="0" collapsed="false">
      <c r="A7" s="6" t="n">
        <v>3</v>
      </c>
      <c r="B7" s="6" t="s">
        <v>344</v>
      </c>
      <c r="C7" s="6" t="s">
        <v>345</v>
      </c>
      <c r="D7" s="6" t="s">
        <v>346</v>
      </c>
      <c r="E7" s="11" t="n">
        <f aca="false">eps/rho</f>
        <v>9.5</v>
      </c>
      <c r="F7" s="6" t="s">
        <v>26</v>
      </c>
    </row>
    <row r="8" customFormat="false" ht="15" hidden="false" customHeight="false" outlineLevel="0" collapsed="false">
      <c r="A8" s="9" t="s">
        <v>347</v>
      </c>
      <c r="B8" s="10"/>
      <c r="C8" s="10"/>
      <c r="D8" s="10"/>
      <c r="E8" s="10"/>
      <c r="F8" s="10"/>
    </row>
    <row r="9" customFormat="false" ht="15" hidden="false" customHeight="false" outlineLevel="0" collapsed="false">
      <c r="A9" s="6" t="n">
        <v>4</v>
      </c>
      <c r="B9" s="6" t="s">
        <v>219</v>
      </c>
      <c r="C9" s="6" t="s">
        <v>348</v>
      </c>
      <c r="D9" s="6" t="s">
        <v>349</v>
      </c>
      <c r="E9" s="11" t="n">
        <f aca="false">1.26</f>
        <v>1.26</v>
      </c>
      <c r="F9" s="6" t="s">
        <v>26</v>
      </c>
    </row>
    <row r="10" customFormat="false" ht="15" hidden="false" customHeight="false" outlineLevel="0" collapsed="false">
      <c r="A10" s="6" t="n">
        <v>5</v>
      </c>
      <c r="B10" s="6" t="s">
        <v>222</v>
      </c>
      <c r="C10" s="6" t="s">
        <v>350</v>
      </c>
      <c r="D10" s="6" t="s">
        <v>351</v>
      </c>
      <c r="E10" s="11" t="n">
        <f aca="false">1+R_u/(a_2+b_2*T_z*(1+delta^(1-n2_0)))</f>
        <v>1.2419983244592</v>
      </c>
      <c r="F10" s="6" t="s">
        <v>26</v>
      </c>
    </row>
    <row r="11" customFormat="false" ht="15" hidden="false" customHeight="false" outlineLevel="0" collapsed="false">
      <c r="A11" s="6" t="n">
        <v>6</v>
      </c>
      <c r="B11" s="6" t="s">
        <v>225</v>
      </c>
      <c r="C11" s="6" t="s">
        <v>352</v>
      </c>
      <c r="D11" s="6" t="s">
        <v>351</v>
      </c>
      <c r="E11" s="11" t="n">
        <f aca="false">1+R_u/(a_2+b_2*T_z*(1+delta^(1-n2_1)))</f>
        <v>1.24067771248588</v>
      </c>
      <c r="F11" s="6" t="s">
        <v>26</v>
      </c>
    </row>
    <row r="12" customFormat="false" ht="15" hidden="false" customHeight="false" outlineLevel="0" collapsed="false">
      <c r="A12" s="6" t="n">
        <v>7</v>
      </c>
      <c r="B12" s="6" t="s">
        <v>227</v>
      </c>
      <c r="C12" s="6" t="s">
        <v>353</v>
      </c>
      <c r="D12" s="6" t="s">
        <v>351</v>
      </c>
      <c r="E12" s="11" t="n">
        <f aca="false">1+R_u/(a_2+b_2*T_z*(1+delta^(1-n2_2)))</f>
        <v>1.24057928876565</v>
      </c>
      <c r="F12" s="6" t="s">
        <v>26</v>
      </c>
    </row>
    <row r="13" customFormat="false" ht="15" hidden="false" customHeight="false" outlineLevel="0" collapsed="false">
      <c r="A13" s="6" t="n">
        <v>8</v>
      </c>
      <c r="B13" s="6" t="s">
        <v>229</v>
      </c>
      <c r="C13" s="6" t="s">
        <v>354</v>
      </c>
      <c r="D13" s="6" t="s">
        <v>351</v>
      </c>
      <c r="E13" s="11" t="n">
        <f aca="false">1+R_u/(a_2+b_2*T_z*(1+delta^(1-n2_3)))</f>
        <v>1.24057194486184</v>
      </c>
      <c r="F13" s="6" t="s">
        <v>26</v>
      </c>
    </row>
    <row r="14" customFormat="false" ht="15" hidden="false" customHeight="false" outlineLevel="0" collapsed="false">
      <c r="A14" s="6" t="n">
        <v>9</v>
      </c>
      <c r="B14" s="6" t="s">
        <v>231</v>
      </c>
      <c r="C14" s="6" t="s">
        <v>355</v>
      </c>
      <c r="D14" s="6" t="s">
        <v>351</v>
      </c>
      <c r="E14" s="11" t="n">
        <f aca="false">1+R_u/(a_2+b_2*T_z*(1+delta^(1-n2_4)))</f>
        <v>1.24057139684786</v>
      </c>
      <c r="F14" s="6" t="s">
        <v>26</v>
      </c>
    </row>
    <row r="15" customFormat="false" ht="15" hidden="false" customHeight="false" outlineLevel="0" collapsed="false">
      <c r="A15" s="6" t="n">
        <v>10</v>
      </c>
      <c r="B15" s="6" t="s">
        <v>233</v>
      </c>
      <c r="C15" s="6" t="s">
        <v>356</v>
      </c>
      <c r="D15" s="6" t="s">
        <v>351</v>
      </c>
      <c r="E15" s="11" t="n">
        <f aca="false">1+R_u/(a_2+b_2*T_z*(1+delta^(1-n2_5)))</f>
        <v>1.2405713559539</v>
      </c>
      <c r="F15" s="6" t="s">
        <v>26</v>
      </c>
    </row>
    <row r="16" customFormat="false" ht="15" hidden="false" customHeight="false" outlineLevel="0" collapsed="false">
      <c r="A16" s="6" t="n">
        <v>11</v>
      </c>
      <c r="B16" s="6" t="s">
        <v>235</v>
      </c>
      <c r="C16" s="6" t="s">
        <v>357</v>
      </c>
      <c r="D16" s="6" t="s">
        <v>351</v>
      </c>
      <c r="E16" s="11" t="n">
        <f aca="false">1+R_u/(a_2+b_2*T_z*(1+delta^(1-n2_6)))</f>
        <v>1.24057135290231</v>
      </c>
      <c r="F16" s="6" t="s">
        <v>26</v>
      </c>
    </row>
    <row r="17" customFormat="false" ht="15" hidden="false" customHeight="false" outlineLevel="0" collapsed="false">
      <c r="A17" s="6" t="n">
        <v>12</v>
      </c>
      <c r="B17" s="6" t="s">
        <v>237</v>
      </c>
      <c r="C17" s="6" t="s">
        <v>358</v>
      </c>
      <c r="D17" s="6" t="s">
        <v>351</v>
      </c>
      <c r="E17" s="11" t="n">
        <f aca="false">1+R_u/(a_2+b_2*T_z*(1+delta^(1-n2_7)))</f>
        <v>1.24057135267459</v>
      </c>
      <c r="F17" s="6" t="s">
        <v>26</v>
      </c>
    </row>
    <row r="18" customFormat="false" ht="15" hidden="false" customHeight="false" outlineLevel="0" collapsed="false">
      <c r="A18" s="6" t="n">
        <v>13</v>
      </c>
      <c r="B18" s="6" t="s">
        <v>359</v>
      </c>
      <c r="C18" s="6" t="s">
        <v>360</v>
      </c>
      <c r="D18" s="6" t="s">
        <v>361</v>
      </c>
      <c r="E18" s="11" t="n">
        <f aca="false">n2_8</f>
        <v>1.24057135267459</v>
      </c>
      <c r="F18" s="6" t="s">
        <v>26</v>
      </c>
    </row>
    <row r="19" customFormat="false" ht="15" hidden="false" customHeight="false" outlineLevel="0" collapsed="false">
      <c r="A19" s="6" t="n">
        <v>14</v>
      </c>
      <c r="B19" s="6" t="s">
        <v>362</v>
      </c>
      <c r="C19" s="6" t="s">
        <v>363</v>
      </c>
      <c r="D19" s="6" t="s">
        <v>364</v>
      </c>
      <c r="E19" s="11" t="n">
        <f aca="false">p_z/delta^n_2</f>
        <v>0.421007911530166</v>
      </c>
      <c r="F19" s="6" t="s">
        <v>57</v>
      </c>
    </row>
    <row r="20" customFormat="false" ht="15" hidden="false" customHeight="false" outlineLevel="0" collapsed="false">
      <c r="A20" s="6" t="n">
        <v>15</v>
      </c>
      <c r="B20" s="6" t="s">
        <v>365</v>
      </c>
      <c r="C20" s="6" t="s">
        <v>366</v>
      </c>
      <c r="D20" s="6" t="s">
        <v>367</v>
      </c>
      <c r="E20" s="12" t="n">
        <f aca="false">T_z/delta^(n_2-1)</f>
        <v>1638.30440701385</v>
      </c>
      <c r="F20" s="6" t="s">
        <v>60</v>
      </c>
    </row>
    <row r="21" customFormat="false" ht="15" hidden="false" customHeight="false" outlineLevel="0" collapsed="false">
      <c r="A21" s="6" t="n">
        <v>16</v>
      </c>
      <c r="B21" s="6" t="s">
        <v>368</v>
      </c>
      <c r="C21" s="6" t="s">
        <v>369</v>
      </c>
      <c r="D21" s="6" t="s">
        <v>370</v>
      </c>
      <c r="E21" s="12" t="n">
        <f aca="false">T_b/(p_b/p_r)^(1/3)</f>
        <v>1047.35861384045</v>
      </c>
      <c r="F21" s="6" t="s">
        <v>60</v>
      </c>
    </row>
    <row r="22" customFormat="false" ht="15" hidden="false" customHeight="false" outlineLevel="0" collapsed="false">
      <c r="A22" s="6" t="n">
        <v>17</v>
      </c>
      <c r="B22" s="6" t="s">
        <v>371</v>
      </c>
      <c r="C22" s="6" t="s">
        <v>372</v>
      </c>
      <c r="D22" s="6" t="s">
        <v>373</v>
      </c>
      <c r="E22" s="13" t="n">
        <f aca="false">ABS(T_r_c-T_r)/T_r*100</f>
        <v>0.707559023120504</v>
      </c>
      <c r="F22" s="6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56"/>
    <col collapsed="false" customWidth="true" hidden="false" outlineLevel="0" max="5" min="5" style="0" width="15"/>
    <col collapsed="false" customWidth="true" hidden="false" outlineLevel="0" max="6" min="6" style="0" width="13"/>
  </cols>
  <sheetData>
    <row r="1" customFormat="false" ht="16.15" hidden="false" customHeight="false" outlineLevel="0" collapsed="false">
      <c r="A1" s="3" t="s">
        <v>374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</row>
    <row r="3" customFormat="false" ht="15" hidden="false" customHeight="false" outlineLevel="0" collapsed="false">
      <c r="A3" s="5" t="s">
        <v>121</v>
      </c>
      <c r="B3" s="5" t="s">
        <v>15</v>
      </c>
      <c r="C3" s="5" t="s">
        <v>16</v>
      </c>
      <c r="D3" s="5" t="s">
        <v>122</v>
      </c>
      <c r="E3" s="5" t="s">
        <v>123</v>
      </c>
      <c r="F3" s="5" t="s">
        <v>20</v>
      </c>
    </row>
    <row r="4" customFormat="false" ht="15" hidden="false" customHeight="false" outlineLevel="0" collapsed="false">
      <c r="A4" s="9" t="s">
        <v>375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6" t="n">
        <v>1</v>
      </c>
      <c r="B5" s="6" t="s">
        <v>376</v>
      </c>
      <c r="C5" s="6" t="s">
        <v>377</v>
      </c>
      <c r="D5" s="6" t="s">
        <v>378</v>
      </c>
      <c r="E5" s="11" t="n">
        <f aca="false">p_c/(eps-1)*(lam_p*(rho-1)+lam_p*rho/(n_2-1)*(1-delta^(1-n_2))-1/(n_1-1)*(1-eps^(1-n_1)))</f>
        <v>1.0676566959114</v>
      </c>
      <c r="F5" s="6" t="s">
        <v>57</v>
      </c>
    </row>
    <row r="6" customFormat="false" ht="15" hidden="false" customHeight="false" outlineLevel="0" collapsed="false">
      <c r="A6" s="6" t="n">
        <v>2</v>
      </c>
      <c r="B6" s="6" t="s">
        <v>379</v>
      </c>
      <c r="C6" s="6" t="s">
        <v>380</v>
      </c>
      <c r="D6" s="6" t="s">
        <v>381</v>
      </c>
      <c r="E6" s="11" t="n">
        <f aca="false">phi_r*p_it-(p_r-p_a)</f>
        <v>1.00095042807494</v>
      </c>
      <c r="F6" s="6" t="s">
        <v>57</v>
      </c>
    </row>
    <row r="7" customFormat="false" ht="15" hidden="false" customHeight="false" outlineLevel="0" collapsed="false">
      <c r="A7" s="6" t="n">
        <v>3</v>
      </c>
      <c r="B7" s="6" t="s">
        <v>382</v>
      </c>
      <c r="C7" s="6" t="s">
        <v>383</v>
      </c>
      <c r="D7" s="6" t="s">
        <v>384</v>
      </c>
      <c r="E7" s="11" t="n">
        <f aca="false">R_u*M_1*T_s*p_i/(p_s*eta_v*Q_i)</f>
        <v>0.38592953049243</v>
      </c>
      <c r="F7" s="6" t="s">
        <v>26</v>
      </c>
    </row>
    <row r="8" customFormat="false" ht="15" hidden="false" customHeight="false" outlineLevel="0" collapsed="false">
      <c r="A8" s="6" t="n">
        <v>4</v>
      </c>
      <c r="B8" s="6" t="s">
        <v>385</v>
      </c>
      <c r="C8" s="6" t="s">
        <v>386</v>
      </c>
      <c r="D8" s="6" t="s">
        <v>387</v>
      </c>
      <c r="E8" s="12" t="n">
        <f aca="false">3600000/(eta_i*Q_i)</f>
        <v>214.439720598884</v>
      </c>
      <c r="F8" s="6" t="s">
        <v>388</v>
      </c>
    </row>
    <row r="9" customFormat="false" ht="15" hidden="false" customHeight="false" outlineLevel="0" collapsed="false">
      <c r="A9" s="9" t="s">
        <v>389</v>
      </c>
      <c r="B9" s="10"/>
      <c r="C9" s="10"/>
      <c r="D9" s="10"/>
      <c r="E9" s="10"/>
      <c r="F9" s="10"/>
    </row>
    <row r="10" customFormat="false" ht="15" hidden="false" customHeight="false" outlineLevel="0" collapsed="false">
      <c r="A10" s="6" t="n">
        <v>5</v>
      </c>
      <c r="B10" s="6" t="s">
        <v>390</v>
      </c>
      <c r="C10" s="6" t="s">
        <v>391</v>
      </c>
      <c r="D10" s="6" t="s">
        <v>392</v>
      </c>
      <c r="E10" s="11" t="n">
        <f aca="false">eta_m*p_i</f>
        <v>0.840798359582954</v>
      </c>
      <c r="F10" s="6" t="s">
        <v>57</v>
      </c>
    </row>
    <row r="11" customFormat="false" ht="15" hidden="false" customHeight="false" outlineLevel="0" collapsed="false">
      <c r="A11" s="6" t="n">
        <v>6</v>
      </c>
      <c r="B11" s="6" t="s">
        <v>393</v>
      </c>
      <c r="C11" s="6" t="s">
        <v>394</v>
      </c>
      <c r="D11" s="6" t="s">
        <v>395</v>
      </c>
      <c r="E11" s="11" t="n">
        <f aca="false">eta_m*eta_i</f>
        <v>0.324180805613641</v>
      </c>
      <c r="F11" s="6" t="s">
        <v>26</v>
      </c>
    </row>
    <row r="12" customFormat="false" ht="15" hidden="false" customHeight="false" outlineLevel="0" collapsed="false">
      <c r="A12" s="6" t="n">
        <v>7</v>
      </c>
      <c r="B12" s="6" t="s">
        <v>396</v>
      </c>
      <c r="C12" s="6" t="s">
        <v>397</v>
      </c>
      <c r="D12" s="6" t="s">
        <v>398</v>
      </c>
      <c r="E12" s="12" t="n">
        <f aca="false">c_i/eta_m</f>
        <v>255.285381665338</v>
      </c>
      <c r="F12" s="6" t="s">
        <v>388</v>
      </c>
    </row>
    <row r="13" customFormat="false" ht="15" hidden="false" customHeight="false" outlineLevel="0" collapsed="false">
      <c r="A13" s="6" t="n">
        <v>8</v>
      </c>
      <c r="B13" s="6" t="s">
        <v>399</v>
      </c>
      <c r="C13" s="6" t="s">
        <v>400</v>
      </c>
      <c r="D13" s="6" t="s">
        <v>401</v>
      </c>
      <c r="E13" s="13" t="n">
        <f aca="false">c_e*P_nom/1000</f>
        <v>14.0406959915936</v>
      </c>
      <c r="F13" s="6" t="s">
        <v>402</v>
      </c>
    </row>
    <row r="14" customFormat="false" ht="15" hidden="false" customHeight="false" outlineLevel="0" collapsed="false">
      <c r="A14" s="6" t="n">
        <v>9</v>
      </c>
      <c r="B14" s="6" t="s">
        <v>403</v>
      </c>
      <c r="C14" s="6" t="s">
        <v>404</v>
      </c>
      <c r="D14" s="6" t="s">
        <v>405</v>
      </c>
      <c r="E14" s="12" t="n">
        <f aca="false">P_nom/eta_m</f>
        <v>65.4761904761905</v>
      </c>
      <c r="F14" s="6" t="s">
        <v>29</v>
      </c>
    </row>
    <row r="15" customFormat="false" ht="15" hidden="false" customHeight="false" outlineLevel="0" collapsed="false">
      <c r="A15" s="6" t="n">
        <v>10</v>
      </c>
      <c r="B15" s="6" t="s">
        <v>406</v>
      </c>
      <c r="C15" s="6" t="s">
        <v>407</v>
      </c>
      <c r="D15" s="6" t="s">
        <v>408</v>
      </c>
      <c r="E15" s="12" t="n">
        <f aca="false">9549.3*P_nom/n_P</f>
        <v>95.493</v>
      </c>
      <c r="F15" s="6" t="s">
        <v>409</v>
      </c>
    </row>
    <row r="16" customFormat="false" ht="15" hidden="false" customHeight="false" outlineLevel="0" collapsed="false">
      <c r="A16" s="9" t="s">
        <v>410</v>
      </c>
      <c r="B16" s="10"/>
      <c r="C16" s="10"/>
      <c r="D16" s="10"/>
      <c r="E16" s="10"/>
      <c r="F16" s="10"/>
    </row>
    <row r="17" customFormat="false" ht="15" hidden="false" customHeight="false" outlineLevel="0" collapsed="false">
      <c r="A17" s="6" t="n">
        <v>11</v>
      </c>
      <c r="B17" s="6" t="s">
        <v>411</v>
      </c>
      <c r="C17" s="6" t="s">
        <v>412</v>
      </c>
      <c r="D17" s="6" t="s">
        <v>413</v>
      </c>
      <c r="E17" s="11" t="n">
        <f aca="false">30*tau*P_nom/(p_e*n_P*i_cil)</f>
        <v>0.356803740850308</v>
      </c>
      <c r="F17" s="6" t="s">
        <v>414</v>
      </c>
    </row>
    <row r="18" customFormat="false" ht="15" hidden="false" customHeight="false" outlineLevel="0" collapsed="false">
      <c r="A18" s="6" t="n">
        <v>12</v>
      </c>
      <c r="B18" s="6" t="s">
        <v>415</v>
      </c>
      <c r="C18" s="6" t="s">
        <v>416</v>
      </c>
      <c r="D18" s="6" t="s">
        <v>417</v>
      </c>
      <c r="E18" s="12" t="n">
        <f aca="false">(4*V_h*1000000/(PI()*psi))^(1/3)</f>
        <v>80.220546295611</v>
      </c>
      <c r="F18" s="6" t="s">
        <v>418</v>
      </c>
    </row>
    <row r="19" customFormat="false" ht="15" hidden="false" customHeight="false" outlineLevel="0" collapsed="false">
      <c r="A19" s="6" t="n">
        <v>13</v>
      </c>
      <c r="B19" s="6" t="s">
        <v>419</v>
      </c>
      <c r="C19" s="6" t="s">
        <v>420</v>
      </c>
      <c r="D19" s="6" t="s">
        <v>421</v>
      </c>
      <c r="E19" s="12" t="n">
        <f aca="false">psi*D_cil</f>
        <v>70.5940807401376</v>
      </c>
      <c r="F19" s="6" t="s">
        <v>418</v>
      </c>
    </row>
    <row r="20" customFormat="false" ht="15" hidden="false" customHeight="false" outlineLevel="0" collapsed="false">
      <c r="A20" s="6" t="n">
        <v>14</v>
      </c>
      <c r="B20" s="6" t="s">
        <v>422</v>
      </c>
      <c r="C20" s="6" t="s">
        <v>116</v>
      </c>
      <c r="D20" s="6" t="s">
        <v>423</v>
      </c>
      <c r="E20" s="12" t="n">
        <f aca="false">S_cil/2</f>
        <v>35.2970403700688</v>
      </c>
      <c r="F20" s="6" t="s">
        <v>418</v>
      </c>
    </row>
    <row r="21" customFormat="false" ht="15" hidden="false" customHeight="false" outlineLevel="0" collapsed="false">
      <c r="A21" s="6" t="n">
        <v>15</v>
      </c>
      <c r="B21" s="6" t="s">
        <v>424</v>
      </c>
      <c r="C21" s="6" t="s">
        <v>425</v>
      </c>
      <c r="D21" s="6" t="s">
        <v>426</v>
      </c>
      <c r="E21" s="12" t="n">
        <f aca="false">R_man/lam</f>
        <v>126.060858464531</v>
      </c>
      <c r="F21" s="6" t="s">
        <v>418</v>
      </c>
    </row>
    <row r="22" customFormat="false" ht="15" hidden="false" customHeight="false" outlineLevel="0" collapsed="false">
      <c r="A22" s="6" t="n">
        <v>16</v>
      </c>
      <c r="B22" s="6" t="s">
        <v>427</v>
      </c>
      <c r="C22" s="6" t="s">
        <v>428</v>
      </c>
      <c r="D22" s="6" t="s">
        <v>429</v>
      </c>
      <c r="E22" s="11" t="n">
        <f aca="false">i_cil*V_h</f>
        <v>1.42721496340123</v>
      </c>
      <c r="F22" s="6" t="s">
        <v>414</v>
      </c>
    </row>
    <row r="23" customFormat="false" ht="15" hidden="false" customHeight="false" outlineLevel="0" collapsed="false">
      <c r="A23" s="6" t="n">
        <v>17</v>
      </c>
      <c r="B23" s="6" t="s">
        <v>430</v>
      </c>
      <c r="C23" s="6" t="s">
        <v>431</v>
      </c>
      <c r="D23" s="6" t="s">
        <v>432</v>
      </c>
      <c r="E23" s="13" t="n">
        <f aca="false">S_cil*n_P/30000</f>
        <v>12.9422481356919</v>
      </c>
      <c r="F23" s="6" t="s">
        <v>433</v>
      </c>
    </row>
    <row r="24" customFormat="false" ht="15" hidden="false" customHeight="false" outlineLevel="0" collapsed="false">
      <c r="A24" s="6" t="n">
        <v>18</v>
      </c>
      <c r="B24" s="6" t="s">
        <v>434</v>
      </c>
      <c r="C24" s="6" t="s">
        <v>435</v>
      </c>
      <c r="D24" s="6" t="s">
        <v>436</v>
      </c>
      <c r="E24" s="12" t="n">
        <f aca="false">P_nom/V_t</f>
        <v>38.5365914808854</v>
      </c>
      <c r="F24" s="6" t="s">
        <v>437</v>
      </c>
    </row>
    <row r="25" customFormat="false" ht="15" hidden="false" customHeight="false" outlineLevel="0" collapsed="false">
      <c r="A25" s="9" t="s">
        <v>438</v>
      </c>
      <c r="B25" s="10"/>
      <c r="C25" s="10"/>
      <c r="D25" s="10"/>
      <c r="E25" s="10"/>
      <c r="F25" s="10"/>
    </row>
    <row r="26" customFormat="false" ht="15" hidden="false" customHeight="false" outlineLevel="0" collapsed="false">
      <c r="A26" s="6" t="n">
        <v>19</v>
      </c>
      <c r="B26" s="6" t="s">
        <v>439</v>
      </c>
      <c r="C26" s="6" t="s">
        <v>440</v>
      </c>
      <c r="D26" s="6" t="s">
        <v>441</v>
      </c>
      <c r="E26" s="17" t="n">
        <f aca="false">ROUND(D_cil*2,0)/2</f>
        <v>80</v>
      </c>
      <c r="F26" s="6" t="s">
        <v>418</v>
      </c>
    </row>
    <row r="27" customFormat="false" ht="15" hidden="false" customHeight="false" outlineLevel="0" collapsed="false">
      <c r="A27" s="6" t="n">
        <v>20</v>
      </c>
      <c r="B27" s="6" t="s">
        <v>442</v>
      </c>
      <c r="C27" s="6" t="s">
        <v>443</v>
      </c>
      <c r="D27" s="6" t="s">
        <v>441</v>
      </c>
      <c r="E27" s="17" t="n">
        <f aca="false">ROUND(S_cil*2,0)/2</f>
        <v>70.5</v>
      </c>
      <c r="F27" s="6" t="s">
        <v>418</v>
      </c>
    </row>
    <row r="28" customFormat="false" ht="15" hidden="false" customHeight="false" outlineLevel="0" collapsed="false">
      <c r="A28" s="6" t="n">
        <v>21</v>
      </c>
      <c r="B28" s="6" t="s">
        <v>444</v>
      </c>
      <c r="C28" s="6" t="s">
        <v>445</v>
      </c>
      <c r="D28" s="6" t="s">
        <v>446</v>
      </c>
      <c r="E28" s="13" t="n">
        <f aca="false">p_e*PI()*D_r^2/4*S_r*i_cil*n_P/(30*tau)/1000000</f>
        <v>54.6251022380621</v>
      </c>
      <c r="F28" s="6" t="s">
        <v>29</v>
      </c>
    </row>
    <row r="29" customFormat="false" ht="15" hidden="false" customHeight="false" outlineLevel="0" collapsed="false">
      <c r="A29" s="6" t="n">
        <v>22</v>
      </c>
      <c r="B29" s="6" t="s">
        <v>447</v>
      </c>
      <c r="C29" s="6" t="s">
        <v>448</v>
      </c>
      <c r="D29" s="6" t="s">
        <v>449</v>
      </c>
      <c r="E29" s="13" t="n">
        <f aca="false">ABS(P_e_r-P_nom)/P_nom*100</f>
        <v>0.681632294432536</v>
      </c>
      <c r="F29" s="6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6" min="5" style="0" width="10"/>
  </cols>
  <sheetData>
    <row r="1" customFormat="false" ht="16.15" hidden="false" customHeight="false" outlineLevel="0" collapsed="false">
      <c r="A1" s="3" t="s">
        <v>450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4" t="s">
        <v>451</v>
      </c>
      <c r="B2" s="18" t="n">
        <f aca="false">V_h*1000/(eps-1)</f>
        <v>41.9769106882715</v>
      </c>
      <c r="C2" s="4" t="s">
        <v>452</v>
      </c>
      <c r="D2" s="18" t="n">
        <f aca="false">V_h*1000+B2</f>
        <v>398.780651538579</v>
      </c>
      <c r="E2" s="4" t="s">
        <v>453</v>
      </c>
      <c r="F2" s="18" t="n">
        <f aca="false">rho*B2</f>
        <v>41.9769106882715</v>
      </c>
    </row>
    <row r="3" customFormat="false" ht="15" hidden="false" customHeight="false" outlineLevel="0" collapsed="false">
      <c r="A3" s="4"/>
      <c r="B3" s="4"/>
      <c r="C3" s="4"/>
      <c r="D3" s="4"/>
      <c r="E3" s="4"/>
      <c r="F3" s="4"/>
    </row>
    <row r="4" customFormat="false" ht="15" hidden="false" customHeight="false" outlineLevel="0" collapsed="false">
      <c r="A4" s="5" t="s">
        <v>454</v>
      </c>
      <c r="B4" s="5" t="s">
        <v>455</v>
      </c>
      <c r="C4" s="5" t="s">
        <v>456</v>
      </c>
      <c r="D4" s="5" t="s">
        <v>457</v>
      </c>
      <c r="E4" s="4"/>
      <c r="F4" s="4"/>
    </row>
    <row r="5" customFormat="false" ht="15" hidden="false" customHeight="false" outlineLevel="0" collapsed="false">
      <c r="A5" s="4" t="n">
        <v>0</v>
      </c>
      <c r="B5" s="18" t="n">
        <f aca="false">V_c+V_h*1000/2*((1-COS(RADIANS(A5)))+lam/4*(1-COS(RADIANS(2*A5))))</f>
        <v>41.9769106882715</v>
      </c>
      <c r="C5" s="19" t="n">
        <f aca="false">IF(A5&lt;=180,p_a,IF(A5&lt;360,p_a*(V_a/B5)^n_1,IF(A5&lt;=540,IF(AND(B5&lt;=V_z,A5&lt;400),p_z,p_z*(V_z/B5)^n_2),p_r)))</f>
        <v>0.086</v>
      </c>
      <c r="D5" s="4" t="str">
        <f aca="false">IF(A5&lt;=180,"admisie",IF(A5&lt;360,"comprimare",IF(A5&lt;=540,"ardere-destindere","evacuare")))</f>
        <v>admisie</v>
      </c>
      <c r="E5" s="4"/>
      <c r="F5" s="4"/>
    </row>
    <row r="6" customFormat="false" ht="15" hidden="false" customHeight="false" outlineLevel="0" collapsed="false">
      <c r="A6" s="4" t="n">
        <v>5</v>
      </c>
      <c r="B6" s="18" t="n">
        <f aca="false">V_c+V_h*1000/2*((1-COS(RADIANS(A6)))+lam/4*(1-COS(RADIANS(2*A6))))</f>
        <v>42.8455064357373</v>
      </c>
      <c r="C6" s="19" t="n">
        <f aca="false">IF(A6&lt;=180,p_a,IF(A6&lt;360,p_a*(V_a/B6)^n_1,IF(A6&lt;=540,IF(AND(B6&lt;=V_z,A6&lt;400),p_z,p_z*(V_z/B6)^n_2),p_r)))</f>
        <v>0.086</v>
      </c>
      <c r="D6" s="4" t="str">
        <f aca="false">IF(A6&lt;=180,"admisie",IF(A6&lt;360,"comprimare",IF(A6&lt;=540,"ardere-destindere","evacuare")))</f>
        <v>admisie</v>
      </c>
      <c r="E6" s="4"/>
      <c r="F6" s="4"/>
    </row>
    <row r="7" customFormat="false" ht="15" hidden="false" customHeight="false" outlineLevel="0" collapsed="false">
      <c r="A7" s="4" t="n">
        <v>10</v>
      </c>
      <c r="B7" s="18" t="n">
        <f aca="false">V_c+V_h*1000/2*((1-COS(RADIANS(A7)))+lam/4*(1-COS(RADIANS(2*A7))))</f>
        <v>45.4403624145108</v>
      </c>
      <c r="C7" s="19" t="n">
        <f aca="false">IF(A7&lt;=180,p_a,IF(A7&lt;360,p_a*(V_a/B7)^n_1,IF(A7&lt;=540,IF(AND(B7&lt;=V_z,A7&lt;400),p_z,p_z*(V_z/B7)^n_2),p_r)))</f>
        <v>0.086</v>
      </c>
      <c r="D7" s="4" t="str">
        <f aca="false">IF(A7&lt;=180,"admisie",IF(A7&lt;360,"comprimare",IF(A7&lt;=540,"ardere-destindere","evacuare")))</f>
        <v>admisie</v>
      </c>
      <c r="E7" s="4"/>
      <c r="F7" s="4"/>
    </row>
    <row r="8" customFormat="false" ht="15" hidden="false" customHeight="false" outlineLevel="0" collapsed="false">
      <c r="A8" s="4" t="n">
        <v>15</v>
      </c>
      <c r="B8" s="18" t="n">
        <f aca="false">V_c+V_h*1000/2*((1-COS(RADIANS(A8)))+lam/4*(1-COS(RADIANS(2*A8))))</f>
        <v>49.7288993102951</v>
      </c>
      <c r="C8" s="19" t="n">
        <f aca="false">IF(A8&lt;=180,p_a,IF(A8&lt;360,p_a*(V_a/B8)^n_1,IF(A8&lt;=540,IF(AND(B8&lt;=V_z,A8&lt;400),p_z,p_z*(V_z/B8)^n_2),p_r)))</f>
        <v>0.086</v>
      </c>
      <c r="D8" s="4" t="str">
        <f aca="false">IF(A8&lt;=180,"admisie",IF(A8&lt;360,"comprimare",IF(A8&lt;=540,"ardere-destindere","evacuare")))</f>
        <v>admisie</v>
      </c>
      <c r="E8" s="4"/>
      <c r="F8" s="4"/>
    </row>
    <row r="9" customFormat="false" ht="15" hidden="false" customHeight="false" outlineLevel="0" collapsed="false">
      <c r="A9" s="4" t="n">
        <v>20</v>
      </c>
      <c r="B9" s="18" t="n">
        <f aca="false">V_c+V_h*1000/2*((1-COS(RADIANS(A9)))+lam/4*(1-COS(RADIANS(2*A9))))</f>
        <v>55.6575275665798</v>
      </c>
      <c r="C9" s="19" t="n">
        <f aca="false">IF(A9&lt;=180,p_a,IF(A9&lt;360,p_a*(V_a/B9)^n_1,IF(A9&lt;=540,IF(AND(B9&lt;=V_z,A9&lt;400),p_z,p_z*(V_z/B9)^n_2),p_r)))</f>
        <v>0.086</v>
      </c>
      <c r="D9" s="4" t="str">
        <f aca="false">IF(A9&lt;=180,"admisie",IF(A9&lt;360,"comprimare",IF(A9&lt;=540,"ardere-destindere","evacuare")))</f>
        <v>admisie</v>
      </c>
      <c r="E9" s="4"/>
      <c r="F9" s="4"/>
    </row>
    <row r="10" customFormat="false" ht="15" hidden="false" customHeight="false" outlineLevel="0" collapsed="false">
      <c r="A10" s="4" t="n">
        <v>25</v>
      </c>
      <c r="B10" s="18" t="n">
        <f aca="false">V_c+V_h*1000/2*((1-COS(RADIANS(A10)))+lam/4*(1-COS(RADIANS(2*A10))))</f>
        <v>63.1526918251723</v>
      </c>
      <c r="C10" s="19" t="n">
        <f aca="false">IF(A10&lt;=180,p_a,IF(A10&lt;360,p_a*(V_a/B10)^n_1,IF(A10&lt;=540,IF(AND(B10&lt;=V_z,A10&lt;400),p_z,p_z*(V_z/B10)^n_2),p_r)))</f>
        <v>0.086</v>
      </c>
      <c r="D10" s="4" t="str">
        <f aca="false">IF(A10&lt;=180,"admisie",IF(A10&lt;360,"comprimare",IF(A10&lt;=540,"ardere-destindere","evacuare")))</f>
        <v>admisie</v>
      </c>
      <c r="E10" s="4"/>
      <c r="F10" s="4"/>
    </row>
    <row r="11" customFormat="false" ht="15" hidden="false" customHeight="false" outlineLevel="0" collapsed="false">
      <c r="A11" s="4" t="n">
        <v>30</v>
      </c>
      <c r="B11" s="18" t="n">
        <f aca="false">V_c+V_h*1000/2*((1-COS(RADIANS(A11)))+lam/4*(1-COS(RADIANS(2*A11))))</f>
        <v>72.1222947074628</v>
      </c>
      <c r="C11" s="19" t="n">
        <f aca="false">IF(A11&lt;=180,p_a,IF(A11&lt;360,p_a*(V_a/B11)^n_1,IF(A11&lt;=540,IF(AND(B11&lt;=V_z,A11&lt;400),p_z,p_z*(V_z/B11)^n_2),p_r)))</f>
        <v>0.086</v>
      </c>
      <c r="D11" s="4" t="str">
        <f aca="false">IF(A11&lt;=180,"admisie",IF(A11&lt;360,"comprimare",IF(A11&lt;=540,"ardere-destindere","evacuare")))</f>
        <v>admisie</v>
      </c>
      <c r="E11" s="4"/>
      <c r="F11" s="4"/>
    </row>
    <row r="12" customFormat="false" ht="15" hidden="false" customHeight="false" outlineLevel="0" collapsed="false">
      <c r="A12" s="4" t="n">
        <v>35</v>
      </c>
      <c r="B12" s="18" t="n">
        <f aca="false">V_c+V_h*1000/2*((1-COS(RADIANS(A12)))+lam/4*(1-COS(RADIANS(2*A12))))</f>
        <v>82.457462848975</v>
      </c>
      <c r="C12" s="19" t="n">
        <f aca="false">IF(A12&lt;=180,p_a,IF(A12&lt;360,p_a*(V_a/B12)^n_1,IF(A12&lt;=540,IF(AND(B12&lt;=V_z,A12&lt;400),p_z,p_z*(V_z/B12)^n_2),p_r)))</f>
        <v>0.086</v>
      </c>
      <c r="D12" s="4" t="str">
        <f aca="false">IF(A12&lt;=180,"admisie",IF(A12&lt;360,"comprimare",IF(A12&lt;=540,"ardere-destindere","evacuare")))</f>
        <v>admisie</v>
      </c>
      <c r="E12" s="4"/>
      <c r="F12" s="4"/>
    </row>
    <row r="13" customFormat="false" ht="15" hidden="false" customHeight="false" outlineLevel="0" collapsed="false">
      <c r="A13" s="4" t="n">
        <v>40</v>
      </c>
      <c r="B13" s="18" t="n">
        <f aca="false">V_c+V_h*1000/2*((1-COS(RADIANS(A13)))+lam/4*(1-COS(RADIANS(2*A13))))</f>
        <v>94.0346093835461</v>
      </c>
      <c r="C13" s="19" t="n">
        <f aca="false">IF(A13&lt;=180,p_a,IF(A13&lt;360,p_a*(V_a/B13)^n_1,IF(A13&lt;=540,IF(AND(B13&lt;=V_z,A13&lt;400),p_z,p_z*(V_z/B13)^n_2),p_r)))</f>
        <v>0.086</v>
      </c>
      <c r="D13" s="4" t="str">
        <f aca="false">IF(A13&lt;=180,"admisie",IF(A13&lt;360,"comprimare",IF(A13&lt;=540,"ardere-destindere","evacuare")))</f>
        <v>admisie</v>
      </c>
      <c r="E13" s="4"/>
      <c r="F13" s="4"/>
    </row>
    <row r="14" customFormat="false" ht="15" hidden="false" customHeight="false" outlineLevel="0" collapsed="false">
      <c r="A14" s="4" t="n">
        <v>45</v>
      </c>
      <c r="B14" s="18" t="n">
        <f aca="false">V_c+V_h*1000/2*((1-COS(RADIANS(A14)))+lam/4*(1-COS(RADIANS(2*A14))))</f>
        <v>106.717739689196</v>
      </c>
      <c r="C14" s="19" t="n">
        <f aca="false">IF(A14&lt;=180,p_a,IF(A14&lt;360,p_a*(V_a/B14)^n_1,IF(A14&lt;=540,IF(AND(B14&lt;=V_z,A14&lt;400),p_z,p_z*(V_z/B14)^n_2),p_r)))</f>
        <v>0.086</v>
      </c>
      <c r="D14" s="4" t="str">
        <f aca="false">IF(A14&lt;=180,"admisie",IF(A14&lt;360,"comprimare",IF(A14&lt;=540,"ardere-destindere","evacuare")))</f>
        <v>admisie</v>
      </c>
      <c r="E14" s="4"/>
      <c r="F14" s="4"/>
    </row>
    <row r="15" customFormat="false" ht="15" hidden="false" customHeight="false" outlineLevel="0" collapsed="false">
      <c r="A15" s="4" t="n">
        <v>50</v>
      </c>
      <c r="B15" s="18" t="n">
        <f aca="false">V_c+V_h*1000/2*((1-COS(RADIANS(A15)))+lam/4*(1-COS(RADIANS(2*A15))))</f>
        <v>120.360941367413</v>
      </c>
      <c r="C15" s="19" t="n">
        <f aca="false">IF(A15&lt;=180,p_a,IF(A15&lt;360,p_a*(V_a/B15)^n_1,IF(A15&lt;=540,IF(AND(B15&lt;=V_z,A15&lt;400),p_z,p_z*(V_z/B15)^n_2),p_r)))</f>
        <v>0.086</v>
      </c>
      <c r="D15" s="4" t="str">
        <f aca="false">IF(A15&lt;=180,"admisie",IF(A15&lt;360,"comprimare",IF(A15&lt;=540,"ardere-destindere","evacuare")))</f>
        <v>admisie</v>
      </c>
      <c r="E15" s="4"/>
      <c r="F15" s="4"/>
    </row>
    <row r="16" customFormat="false" ht="15" hidden="false" customHeight="false" outlineLevel="0" collapsed="false">
      <c r="A16" s="4" t="n">
        <v>55</v>
      </c>
      <c r="B16" s="18" t="n">
        <f aca="false">V_c+V_h*1000/2*((1-COS(RADIANS(A16)))+lam/4*(1-COS(RADIANS(2*A16))))</f>
        <v>134.810995296832</v>
      </c>
      <c r="C16" s="19" t="n">
        <f aca="false">IF(A16&lt;=180,p_a,IF(A16&lt;360,p_a*(V_a/B16)^n_1,IF(A16&lt;=540,IF(AND(B16&lt;=V_z,A16&lt;400),p_z,p_z*(V_z/B16)^n_2),p_r)))</f>
        <v>0.086</v>
      </c>
      <c r="D16" s="4" t="str">
        <f aca="false">IF(A16&lt;=180,"admisie",IF(A16&lt;360,"comprimare",IF(A16&lt;=540,"ardere-destindere","evacuare")))</f>
        <v>admisie</v>
      </c>
      <c r="E16" s="4"/>
      <c r="F16" s="4"/>
    </row>
    <row r="17" customFormat="false" ht="15" hidden="false" customHeight="false" outlineLevel="0" collapsed="false">
      <c r="A17" s="4" t="n">
        <v>60</v>
      </c>
      <c r="B17" s="18" t="n">
        <f aca="false">V_c+V_h*1000/2*((1-COS(RADIANS(A17)))+lam/4*(1-COS(RADIANS(2*A17))))</f>
        <v>149.91004229549</v>
      </c>
      <c r="C17" s="19" t="n">
        <f aca="false">IF(A17&lt;=180,p_a,IF(A17&lt;360,p_a*(V_a/B17)^n_1,IF(A17&lt;=540,IF(AND(B17&lt;=V_z,A17&lt;400),p_z,p_z*(V_z/B17)^n_2),p_r)))</f>
        <v>0.086</v>
      </c>
      <c r="D17" s="4" t="str">
        <f aca="false">IF(A17&lt;=180,"admisie",IF(A17&lt;360,"comprimare",IF(A17&lt;=540,"ardere-destindere","evacuare")))</f>
        <v>admisie</v>
      </c>
      <c r="E17" s="4"/>
      <c r="F17" s="4"/>
    </row>
    <row r="18" customFormat="false" ht="15" hidden="false" customHeight="false" outlineLevel="0" collapsed="false">
      <c r="A18" s="4" t="n">
        <v>65</v>
      </c>
      <c r="B18" s="18" t="n">
        <f aca="false">V_c+V_h*1000/2*((1-COS(RADIANS(A18)))+lam/4*(1-COS(RADIANS(2*A18))))</f>
        <v>165.498239502612</v>
      </c>
      <c r="C18" s="19" t="n">
        <f aca="false">IF(A18&lt;=180,p_a,IF(A18&lt;360,p_a*(V_a/B18)^n_1,IF(A18&lt;=540,IF(AND(B18&lt;=V_z,A18&lt;400),p_z,p_z*(V_z/B18)^n_2),p_r)))</f>
        <v>0.086</v>
      </c>
      <c r="D18" s="4" t="str">
        <f aca="false">IF(A18&lt;=180,"admisie",IF(A18&lt;360,"comprimare",IF(A18&lt;=540,"ardere-destindere","evacuare")))</f>
        <v>admisie</v>
      </c>
      <c r="E18" s="4"/>
      <c r="F18" s="4"/>
    </row>
    <row r="19" customFormat="false" ht="15" hidden="false" customHeight="false" outlineLevel="0" collapsed="false">
      <c r="A19" s="4" t="n">
        <v>70</v>
      </c>
      <c r="B19" s="18" t="n">
        <f aca="false">V_c+V_h*1000/2*((1-COS(RADIANS(A19)))+lam/4*(1-COS(RADIANS(2*A19))))</f>
        <v>181.416342054493</v>
      </c>
      <c r="C19" s="19" t="n">
        <f aca="false">IF(A19&lt;=180,p_a,IF(A19&lt;360,p_a*(V_a/B19)^n_1,IF(A19&lt;=540,IF(AND(B19&lt;=V_z,A19&lt;400),p_z,p_z*(V_z/B19)^n_2),p_r)))</f>
        <v>0.086</v>
      </c>
      <c r="D19" s="4" t="str">
        <f aca="false">IF(A19&lt;=180,"admisie",IF(A19&lt;360,"comprimare",IF(A19&lt;=540,"ardere-destindere","evacuare")))</f>
        <v>admisie</v>
      </c>
      <c r="E19" s="4"/>
      <c r="F19" s="4"/>
    </row>
    <row r="20" customFormat="false" ht="15" hidden="false" customHeight="false" outlineLevel="0" collapsed="false">
      <c r="A20" s="4" t="n">
        <v>75</v>
      </c>
      <c r="B20" s="18" t="n">
        <f aca="false">V_c+V_h*1000/2*((1-COS(RADIANS(A20)))+lam/4*(1-COS(RADIANS(2*A20))))</f>
        <v>197.508148926203</v>
      </c>
      <c r="C20" s="19" t="n">
        <f aca="false">IF(A20&lt;=180,p_a,IF(A20&lt;360,p_a*(V_a/B20)^n_1,IF(A20&lt;=540,IF(AND(B20&lt;=V_z,A20&lt;400),p_z,p_z*(V_z/B20)^n_2),p_r)))</f>
        <v>0.086</v>
      </c>
      <c r="D20" s="4" t="str">
        <f aca="false">IF(A20&lt;=180,"admisie",IF(A20&lt;360,"comprimare",IF(A20&lt;=540,"ardere-destindere","evacuare")))</f>
        <v>admisie</v>
      </c>
      <c r="E20" s="4"/>
      <c r="F20" s="4"/>
    </row>
    <row r="21" customFormat="false" ht="15" hidden="false" customHeight="false" outlineLevel="0" collapsed="false">
      <c r="A21" s="4" t="n">
        <v>80</v>
      </c>
      <c r="B21" s="18" t="n">
        <f aca="false">V_c+V_h*1000/2*((1-COS(RADIANS(A21)))+lam/4*(1-COS(RADIANS(2*A21))))</f>
        <v>213.622756833591</v>
      </c>
      <c r="C21" s="19" t="n">
        <f aca="false">IF(A21&lt;=180,p_a,IF(A21&lt;360,p_a*(V_a/B21)^n_1,IF(A21&lt;=540,IF(AND(B21&lt;=V_z,A21&lt;400),p_z,p_z*(V_z/B21)^n_2),p_r)))</f>
        <v>0.086</v>
      </c>
      <c r="D21" s="4" t="str">
        <f aca="false">IF(A21&lt;=180,"admisie",IF(A21&lt;360,"comprimare",IF(A21&lt;=540,"ardere-destindere","evacuare")))</f>
        <v>admisie</v>
      </c>
      <c r="E21" s="4"/>
      <c r="F21" s="4"/>
    </row>
    <row r="22" customFormat="false" ht="15" hidden="false" customHeight="false" outlineLevel="0" collapsed="false">
      <c r="A22" s="4" t="n">
        <v>85</v>
      </c>
      <c r="B22" s="18" t="n">
        <f aca="false">V_c+V_h*1000/2*((1-COS(RADIANS(A22)))+lam/4*(1-COS(RADIANS(2*A22))))</f>
        <v>229.61657267897</v>
      </c>
      <c r="C22" s="19" t="n">
        <f aca="false">IF(A22&lt;=180,p_a,IF(A22&lt;360,p_a*(V_a/B22)^n_1,IF(A22&lt;=540,IF(AND(B22&lt;=V_z,A22&lt;400),p_z,p_z*(V_z/B22)^n_2),p_r)))</f>
        <v>0.086</v>
      </c>
      <c r="D22" s="4" t="str">
        <f aca="false">IF(A22&lt;=180,"admisie",IF(A22&lt;360,"comprimare",IF(A22&lt;=540,"ardere-destindere","evacuare")))</f>
        <v>admisie</v>
      </c>
      <c r="E22" s="4"/>
      <c r="F22" s="4"/>
    </row>
    <row r="23" customFormat="false" ht="15" hidden="false" customHeight="false" outlineLevel="0" collapsed="false">
      <c r="A23" s="4" t="n">
        <v>90</v>
      </c>
      <c r="B23" s="18" t="n">
        <f aca="false">V_c+V_h*1000/2*((1-COS(RADIANS(A23)))+lam/4*(1-COS(RADIANS(2*A23))))</f>
        <v>245.355042972947</v>
      </c>
      <c r="C23" s="19" t="n">
        <f aca="false">IF(A23&lt;=180,p_a,IF(A23&lt;360,p_a*(V_a/B23)^n_1,IF(A23&lt;=540,IF(AND(B23&lt;=V_z,A23&lt;400),p_z,p_z*(V_z/B23)^n_2),p_r)))</f>
        <v>0.086</v>
      </c>
      <c r="D23" s="4" t="str">
        <f aca="false">IF(A23&lt;=180,"admisie",IF(A23&lt;360,"comprimare",IF(A23&lt;=540,"ardere-destindere","evacuare")))</f>
        <v>admisie</v>
      </c>
      <c r="E23" s="4"/>
      <c r="F23" s="4"/>
    </row>
    <row r="24" customFormat="false" ht="15" hidden="false" customHeight="false" outlineLevel="0" collapsed="false">
      <c r="A24" s="4" t="n">
        <v>95</v>
      </c>
      <c r="B24" s="18" t="n">
        <f aca="false">V_c+V_h*1000/2*((1-COS(RADIANS(A24)))+lam/4*(1-COS(RADIANS(2*A24))))</f>
        <v>260.714067727922</v>
      </c>
      <c r="C24" s="19" t="n">
        <f aca="false">IF(A24&lt;=180,p_a,IF(A24&lt;360,p_a*(V_a/B24)^n_1,IF(A24&lt;=540,IF(AND(B24&lt;=V_z,A24&lt;400),p_z,p_z*(V_z/B24)^n_2),p_r)))</f>
        <v>0.086</v>
      </c>
      <c r="D24" s="4" t="str">
        <f aca="false">IF(A24&lt;=180,"admisie",IF(A24&lt;360,"comprimare",IF(A24&lt;=540,"ardere-destindere","evacuare")))</f>
        <v>admisie</v>
      </c>
      <c r="E24" s="4"/>
      <c r="F24" s="4"/>
    </row>
    <row r="25" customFormat="false" ht="15" hidden="false" customHeight="false" outlineLevel="0" collapsed="false">
      <c r="A25" s="4" t="n">
        <v>100</v>
      </c>
      <c r="B25" s="18" t="n">
        <f aca="false">V_c+V_h*1000/2*((1-COS(RADIANS(A25)))+lam/4*(1-COS(RADIANS(2*A25))))</f>
        <v>275.58107621699</v>
      </c>
      <c r="C25" s="19" t="n">
        <f aca="false">IF(A25&lt;=180,p_a,IF(A25&lt;360,p_a*(V_a/B25)^n_1,IF(A25&lt;=540,IF(AND(B25&lt;=V_z,A25&lt;400),p_z,p_z*(V_z/B25)^n_2),p_r)))</f>
        <v>0.086</v>
      </c>
      <c r="D25" s="4" t="str">
        <f aca="false">IF(A25&lt;=180,"admisie",IF(A25&lt;360,"comprimare",IF(A25&lt;=540,"ardere-destindere","evacuare")))</f>
        <v>admisie</v>
      </c>
      <c r="E25" s="4"/>
      <c r="F25" s="4"/>
    </row>
    <row r="26" customFormat="false" ht="15" hidden="false" customHeight="false" outlineLevel="0" collapsed="false">
      <c r="A26" s="4" t="n">
        <v>105</v>
      </c>
      <c r="B26" s="18" t="n">
        <f aca="false">V_c+V_h*1000/2*((1-COS(RADIANS(A26)))+lam/4*(1-COS(RADIANS(2*A26))))</f>
        <v>289.855752422087</v>
      </c>
      <c r="C26" s="19" t="n">
        <f aca="false">IF(A26&lt;=180,p_a,IF(A26&lt;360,p_a*(V_a/B26)^n_1,IF(A26&lt;=540,IF(AND(B26&lt;=V_z,A26&lt;400),p_z,p_z*(V_z/B26)^n_2),p_r)))</f>
        <v>0.086</v>
      </c>
      <c r="D26" s="4" t="str">
        <f aca="false">IF(A26&lt;=180,"admisie",IF(A26&lt;360,"comprimare",IF(A26&lt;=540,"ardere-destindere","evacuare")))</f>
        <v>admisie</v>
      </c>
      <c r="E26" s="4"/>
      <c r="F26" s="4"/>
    </row>
    <row r="27" customFormat="false" ht="15" hidden="false" customHeight="false" outlineLevel="0" collapsed="false">
      <c r="A27" s="4" t="n">
        <v>110</v>
      </c>
      <c r="B27" s="18" t="n">
        <f aca="false">V_c+V_h*1000/2*((1-COS(RADIANS(A27)))+lam/4*(1-COS(RADIANS(2*A27))))</f>
        <v>303.45040863925</v>
      </c>
      <c r="C27" s="19" t="n">
        <f aca="false">IF(A27&lt;=180,p_a,IF(A27&lt;360,p_a*(V_a/B27)^n_1,IF(A27&lt;=540,IF(AND(B27&lt;=V_z,A27&lt;400),p_z,p_z*(V_z/B27)^n_2),p_r)))</f>
        <v>0.086</v>
      </c>
      <c r="D27" s="4" t="str">
        <f aca="false">IF(A27&lt;=180,"admisie",IF(A27&lt;360,"comprimare",IF(A27&lt;=540,"ardere-destindere","evacuare")))</f>
        <v>admisie</v>
      </c>
      <c r="E27" s="4"/>
      <c r="F27" s="4"/>
    </row>
    <row r="28" customFormat="false" ht="15" hidden="false" customHeight="false" outlineLevel="0" collapsed="false">
      <c r="A28" s="4" t="n">
        <v>115</v>
      </c>
      <c r="B28" s="18" t="n">
        <f aca="false">V_c+V_h*1000/2*((1-COS(RADIANS(A28)))+lam/4*(1-COS(RADIANS(2*A28))))</f>
        <v>316.290016243348</v>
      </c>
      <c r="C28" s="19" t="n">
        <f aca="false">IF(A28&lt;=180,p_a,IF(A28&lt;360,p_a*(V_a/B28)^n_1,IF(A28&lt;=540,IF(AND(B28&lt;=V_z,A28&lt;400),p_z,p_z*(V_z/B28)^n_2),p_r)))</f>
        <v>0.086</v>
      </c>
      <c r="D28" s="4" t="str">
        <f aca="false">IF(A28&lt;=180,"admisie",IF(A28&lt;360,"comprimare",IF(A28&lt;=540,"ardere-destindere","evacuare")))</f>
        <v>admisie</v>
      </c>
      <c r="E28" s="4"/>
      <c r="F28" s="4"/>
    </row>
    <row r="29" customFormat="false" ht="15" hidden="false" customHeight="false" outlineLevel="0" collapsed="false">
      <c r="A29" s="4" t="n">
        <v>120</v>
      </c>
      <c r="B29" s="18" t="n">
        <f aca="false">V_c+V_h*1000/2*((1-COS(RADIANS(A29)))+lam/4*(1-COS(RADIANS(2*A29))))</f>
        <v>328.311912720644</v>
      </c>
      <c r="C29" s="19" t="n">
        <f aca="false">IF(A29&lt;=180,p_a,IF(A29&lt;360,p_a*(V_a/B29)^n_1,IF(A29&lt;=540,IF(AND(B29&lt;=V_z,A29&lt;400),p_z,p_z*(V_z/B29)^n_2),p_r)))</f>
        <v>0.086</v>
      </c>
      <c r="D29" s="4" t="str">
        <f aca="false">IF(A29&lt;=180,"admisie",IF(A29&lt;360,"comprimare",IF(A29&lt;=540,"ardere-destindere","evacuare")))</f>
        <v>admisie</v>
      </c>
      <c r="E29" s="4"/>
      <c r="F29" s="4"/>
    </row>
    <row r="30" customFormat="false" ht="15" hidden="false" customHeight="false" outlineLevel="0" collapsed="false">
      <c r="A30" s="4" t="n">
        <v>125</v>
      </c>
      <c r="B30" s="18" t="n">
        <f aca="false">V_c+V_h*1000/2*((1-COS(RADIANS(A30)))+lam/4*(1-COS(RADIANS(2*A30))))</f>
        <v>339.465213450474</v>
      </c>
      <c r="C30" s="19" t="n">
        <f aca="false">IF(A30&lt;=180,p_a,IF(A30&lt;360,p_a*(V_a/B30)^n_1,IF(A30&lt;=540,IF(AND(B30&lt;=V_z,A30&lt;400),p_z,p_z*(V_z/B30)^n_2),p_r)))</f>
        <v>0.086</v>
      </c>
      <c r="D30" s="4" t="str">
        <f aca="false">IF(A30&lt;=180,"admisie",IF(A30&lt;360,"comprimare",IF(A30&lt;=540,"ardere-destindere","evacuare")))</f>
        <v>admisie</v>
      </c>
      <c r="E30" s="4"/>
      <c r="F30" s="4"/>
    </row>
    <row r="31" customFormat="false" ht="15" hidden="false" customHeight="false" outlineLevel="0" collapsed="false">
      <c r="A31" s="4" t="n">
        <v>130</v>
      </c>
      <c r="B31" s="18" t="n">
        <f aca="false">V_c+V_h*1000/2*((1-COS(RADIANS(A31)))+lam/4*(1-COS(RADIANS(2*A31))))</f>
        <v>349.709965075798</v>
      </c>
      <c r="C31" s="19" t="n">
        <f aca="false">IF(A31&lt;=180,p_a,IF(A31&lt;360,p_a*(V_a/B31)^n_1,IF(A31&lt;=540,IF(AND(B31&lt;=V_z,A31&lt;400),p_z,p_z*(V_z/B31)^n_2),p_r)))</f>
        <v>0.086</v>
      </c>
      <c r="D31" s="4" t="str">
        <f aca="false">IF(A31&lt;=180,"admisie",IF(A31&lt;360,"comprimare",IF(A31&lt;=540,"ardere-destindere","evacuare")))</f>
        <v>admisie</v>
      </c>
      <c r="E31" s="4"/>
      <c r="F31" s="4"/>
    </row>
    <row r="32" customFormat="false" ht="15" hidden="false" customHeight="false" outlineLevel="0" collapsed="false">
      <c r="A32" s="4" t="n">
        <v>135</v>
      </c>
      <c r="B32" s="18" t="n">
        <f aca="false">V_c+V_h*1000/2*((1-COS(RADIANS(A32)))+lam/4*(1-COS(RADIANS(2*A32))))</f>
        <v>359.016084397176</v>
      </c>
      <c r="C32" s="19" t="n">
        <f aca="false">IF(A32&lt;=180,p_a,IF(A32&lt;360,p_a*(V_a/B32)^n_1,IF(A32&lt;=540,IF(AND(B32&lt;=V_z,A32&lt;400),p_z,p_z*(V_z/B32)^n_2),p_r)))</f>
        <v>0.086</v>
      </c>
      <c r="D32" s="4" t="str">
        <f aca="false">IF(A32&lt;=180,"admisie",IF(A32&lt;360,"comprimare",IF(A32&lt;=540,"ardere-destindere","evacuare")))</f>
        <v>admisie</v>
      </c>
      <c r="E32" s="4"/>
      <c r="F32" s="4"/>
    </row>
    <row r="33" customFormat="false" ht="15" hidden="false" customHeight="false" outlineLevel="0" collapsed="false">
      <c r="A33" s="4" t="n">
        <v>140</v>
      </c>
      <c r="B33" s="18" t="n">
        <f aca="false">V_c+V_h*1000/2*((1-COS(RADIANS(A33)))+lam/4*(1-COS(RADIANS(2*A33))))</f>
        <v>367.362132345988</v>
      </c>
      <c r="C33" s="19" t="n">
        <f aca="false">IF(A33&lt;=180,p_a,IF(A33&lt;360,p_a*(V_a/B33)^n_1,IF(A33&lt;=540,IF(AND(B33&lt;=V_z,A33&lt;400),p_z,p_z*(V_z/B33)^n_2),p_r)))</f>
        <v>0.086</v>
      </c>
      <c r="D33" s="4" t="str">
        <f aca="false">IF(A33&lt;=180,"admisie",IF(A33&lt;360,"comprimare",IF(A33&lt;=540,"ardere-destindere","evacuare")))</f>
        <v>admisie</v>
      </c>
      <c r="E33" s="4"/>
      <c r="F33" s="4"/>
    </row>
    <row r="34" customFormat="false" ht="15" hidden="false" customHeight="false" outlineLevel="0" collapsed="false">
      <c r="A34" s="4" t="n">
        <v>145</v>
      </c>
      <c r="B34" s="18" t="n">
        <f aca="false">V_c+V_h*1000/2*((1-COS(RADIANS(A34)))+lam/4*(1-COS(RADIANS(2*A34))))</f>
        <v>374.733976576464</v>
      </c>
      <c r="C34" s="19" t="n">
        <f aca="false">IF(A34&lt;=180,p_a,IF(A34&lt;360,p_a*(V_a/B34)^n_1,IF(A34&lt;=540,IF(AND(B34&lt;=V_z,A34&lt;400),p_z,p_z*(V_z/B34)^n_2),p_r)))</f>
        <v>0.086</v>
      </c>
      <c r="D34" s="4" t="str">
        <f aca="false">IF(A34&lt;=180,"admisie",IF(A34&lt;360,"comprimare",IF(A34&lt;=540,"ardere-destindere","evacuare")))</f>
        <v>admisie</v>
      </c>
      <c r="E34" s="4"/>
      <c r="F34" s="4"/>
    </row>
    <row r="35" customFormat="false" ht="15" hidden="false" customHeight="false" outlineLevel="0" collapsed="false">
      <c r="A35" s="4" t="n">
        <v>150</v>
      </c>
      <c r="B35" s="18" t="n">
        <f aca="false">V_c+V_h*1000/2*((1-COS(RADIANS(A35)))+lam/4*(1-COS(RADIANS(2*A35))))</f>
        <v>381.123398449149</v>
      </c>
      <c r="C35" s="19" t="n">
        <f aca="false">IF(A35&lt;=180,p_a,IF(A35&lt;360,p_a*(V_a/B35)^n_1,IF(A35&lt;=540,IF(AND(B35&lt;=V_z,A35&lt;400),p_z,p_z*(V_z/B35)^n_2),p_r)))</f>
        <v>0.086</v>
      </c>
      <c r="D35" s="4" t="str">
        <f aca="false">IF(A35&lt;=180,"admisie",IF(A35&lt;360,"comprimare",IF(A35&lt;=540,"ardere-destindere","evacuare")))</f>
        <v>admisie</v>
      </c>
      <c r="E35" s="4"/>
      <c r="F35" s="4"/>
    </row>
    <row r="36" customFormat="false" ht="15" hidden="false" customHeight="false" outlineLevel="0" collapsed="false">
      <c r="A36" s="4" t="n">
        <v>155</v>
      </c>
      <c r="B36" s="18" t="n">
        <f aca="false">V_c+V_h*1000/2*((1-COS(RADIANS(A36)))+lam/4*(1-COS(RADIANS(2*A36))))</f>
        <v>386.526700601613</v>
      </c>
      <c r="C36" s="19" t="n">
        <f aca="false">IF(A36&lt;=180,p_a,IF(A36&lt;360,p_a*(V_a/B36)^n_1,IF(A36&lt;=540,IF(AND(B36&lt;=V_z,A36&lt;400),p_z,p_z*(V_z/B36)^n_2),p_r)))</f>
        <v>0.086</v>
      </c>
      <c r="D36" s="4" t="str">
        <f aca="false">IF(A36&lt;=180,"admisie",IF(A36&lt;360,"comprimare",IF(A36&lt;=540,"ardere-destindere","evacuare")))</f>
        <v>admisie</v>
      </c>
      <c r="E36" s="4"/>
      <c r="F36" s="4"/>
    </row>
    <row r="37" customFormat="false" ht="15" hidden="false" customHeight="false" outlineLevel="0" collapsed="false">
      <c r="A37" s="4" t="n">
        <v>160</v>
      </c>
      <c r="B37" s="18" t="n">
        <f aca="false">V_c+V_h*1000/2*((1-COS(RADIANS(A37)))+lam/4*(1-COS(RADIANS(2*A37))))</f>
        <v>390.943369912422</v>
      </c>
      <c r="C37" s="19" t="n">
        <f aca="false">IF(A37&lt;=180,p_a,IF(A37&lt;360,p_a*(V_a/B37)^n_1,IF(A37&lt;=540,IF(AND(B37&lt;=V_z,A37&lt;400),p_z,p_z*(V_z/B37)^n_2),p_r)))</f>
        <v>0.086</v>
      </c>
      <c r="D37" s="4" t="str">
        <f aca="false">IF(A37&lt;=180,"admisie",IF(A37&lt;360,"comprimare",IF(A37&lt;=540,"ardere-destindere","evacuare")))</f>
        <v>admisie</v>
      </c>
      <c r="E37" s="4"/>
      <c r="F37" s="4"/>
    </row>
    <row r="38" customFormat="false" ht="15" hidden="false" customHeight="false" outlineLevel="0" collapsed="false">
      <c r="A38" s="4" t="n">
        <v>165</v>
      </c>
      <c r="B38" s="18" t="n">
        <f aca="false">V_c+V_h*1000/2*((1-COS(RADIANS(A38)))+lam/4*(1-COS(RADIANS(2*A38))))</f>
        <v>394.374847514159</v>
      </c>
      <c r="C38" s="19" t="n">
        <f aca="false">IF(A38&lt;=180,p_a,IF(A38&lt;360,p_a*(V_a/B38)^n_1,IF(A38&lt;=540,IF(AND(B38&lt;=V_z,A38&lt;400),p_z,p_z*(V_z/B38)^n_2),p_r)))</f>
        <v>0.086</v>
      </c>
      <c r="D38" s="4" t="str">
        <f aca="false">IF(A38&lt;=180,"admisie",IF(A38&lt;360,"comprimare",IF(A38&lt;=540,"ardere-destindere","evacuare")))</f>
        <v>admisie</v>
      </c>
      <c r="E38" s="4"/>
      <c r="F38" s="4"/>
    </row>
    <row r="39" customFormat="false" ht="15" hidden="false" customHeight="false" outlineLevel="0" collapsed="false">
      <c r="A39" s="4" t="n">
        <v>170</v>
      </c>
      <c r="B39" s="18" t="n">
        <f aca="false">V_c+V_h*1000/2*((1-COS(RADIANS(A39)))+lam/4*(1-COS(RADIANS(2*A39))))</f>
        <v>396.823452707653</v>
      </c>
      <c r="C39" s="19" t="n">
        <f aca="false">IF(A39&lt;=180,p_a,IF(A39&lt;360,p_a*(V_a/B39)^n_1,IF(A39&lt;=540,IF(AND(B39&lt;=V_z,A39&lt;400),p_z,p_z*(V_z/B39)^n_2),p_r)))</f>
        <v>0.086</v>
      </c>
      <c r="D39" s="4" t="str">
        <f aca="false">IF(A39&lt;=180,"admisie",IF(A39&lt;360,"comprimare",IF(A39&lt;=540,"ardere-destindere","evacuare")))</f>
        <v>admisie</v>
      </c>
      <c r="E39" s="4"/>
      <c r="F39" s="4"/>
    </row>
    <row r="40" customFormat="false" ht="15" hidden="false" customHeight="false" outlineLevel="0" collapsed="false">
      <c r="A40" s="4" t="n">
        <v>175</v>
      </c>
      <c r="B40" s="18" t="n">
        <f aca="false">V_c+V_h*1000/2*((1-COS(RADIANS(A40)))+lam/4*(1-COS(RADIANS(2*A40))))</f>
        <v>398.291501330115</v>
      </c>
      <c r="C40" s="19" t="n">
        <f aca="false">IF(A40&lt;=180,p_a,IF(A40&lt;360,p_a*(V_a/B40)^n_1,IF(A40&lt;=540,IF(AND(B40&lt;=V_z,A40&lt;400),p_z,p_z*(V_z/B40)^n_2),p_r)))</f>
        <v>0.086</v>
      </c>
      <c r="D40" s="4" t="str">
        <f aca="false">IF(A40&lt;=180,"admisie",IF(A40&lt;360,"comprimare",IF(A40&lt;=540,"ardere-destindere","evacuare")))</f>
        <v>admisie</v>
      </c>
      <c r="E40" s="4"/>
      <c r="F40" s="4"/>
    </row>
    <row r="41" customFormat="false" ht="15" hidden="false" customHeight="false" outlineLevel="0" collapsed="false">
      <c r="A41" s="4" t="n">
        <v>180</v>
      </c>
      <c r="B41" s="18" t="n">
        <f aca="false">V_c+V_h*1000/2*((1-COS(RADIANS(A41)))+lam/4*(1-COS(RADIANS(2*A41))))</f>
        <v>398.780651538579</v>
      </c>
      <c r="C41" s="19" t="n">
        <f aca="false">IF(A41&lt;=180,p_a,IF(A41&lt;360,p_a*(V_a/B41)^n_1,IF(A41&lt;=540,IF(AND(B41&lt;=V_z,A41&lt;400),p_z,p_z*(V_z/B41)^n_2),p_r)))</f>
        <v>0.086</v>
      </c>
      <c r="D41" s="4" t="str">
        <f aca="false">IF(A41&lt;=180,"admisie",IF(A41&lt;360,"comprimare",IF(A41&lt;=540,"ardere-destindere","evacuare")))</f>
        <v>admisie</v>
      </c>
      <c r="E41" s="4"/>
      <c r="F41" s="4"/>
    </row>
    <row r="42" customFormat="false" ht="15" hidden="false" customHeight="false" outlineLevel="0" collapsed="false">
      <c r="A42" s="4" t="n">
        <v>185</v>
      </c>
      <c r="B42" s="18" t="n">
        <f aca="false">V_c+V_h*1000/2*((1-COS(RADIANS(A42)))+lam/4*(1-COS(RADIANS(2*A42))))</f>
        <v>398.291501330115</v>
      </c>
      <c r="C42" s="19" t="n">
        <f aca="false">IF(A42&lt;=180,p_a,IF(A42&lt;360,p_a*(V_a/B42)^n_1,IF(A42&lt;=540,IF(AND(B42&lt;=V_z,A42&lt;400),p_z,p_z*(V_z/B42)^n_2),p_r)))</f>
        <v>0.0861448292001651</v>
      </c>
      <c r="D42" s="4" t="str">
        <f aca="false">IF(A42&lt;=180,"admisie",IF(A42&lt;360,"comprimare",IF(A42&lt;=540,"ardere-destindere","evacuare")))</f>
        <v>comprimare</v>
      </c>
      <c r="E42" s="4"/>
      <c r="F42" s="4"/>
    </row>
    <row r="43" customFormat="false" ht="15" hidden="false" customHeight="false" outlineLevel="0" collapsed="false">
      <c r="A43" s="4" t="n">
        <v>190</v>
      </c>
      <c r="B43" s="18" t="n">
        <f aca="false">V_c+V_h*1000/2*((1-COS(RADIANS(A43)))+lam/4*(1-COS(RADIANS(2*A43))))</f>
        <v>396.823452707653</v>
      </c>
      <c r="C43" s="19" t="n">
        <f aca="false">IF(A43&lt;=180,p_a,IF(A43&lt;360,p_a*(V_a/B43)^n_1,IF(A43&lt;=540,IF(AND(B43&lt;=V_z,A43&lt;400),p_z,p_z*(V_z/B43)^n_2),p_r)))</f>
        <v>0.0865820366654073</v>
      </c>
      <c r="D43" s="4" t="str">
        <f aca="false">IF(A43&lt;=180,"admisie",IF(A43&lt;360,"comprimare",IF(A43&lt;=540,"ardere-destindere","evacuare")))</f>
        <v>comprimare</v>
      </c>
      <c r="E43" s="4"/>
      <c r="F43" s="4"/>
    </row>
    <row r="44" customFormat="false" ht="15" hidden="false" customHeight="false" outlineLevel="0" collapsed="false">
      <c r="A44" s="4" t="n">
        <v>195</v>
      </c>
      <c r="B44" s="18" t="n">
        <f aca="false">V_c+V_h*1000/2*((1-COS(RADIANS(A44)))+lam/4*(1-COS(RADIANS(2*A44))))</f>
        <v>394.374847514159</v>
      </c>
      <c r="C44" s="19" t="n">
        <f aca="false">IF(A44&lt;=180,p_a,IF(A44&lt;360,p_a*(V_a/B44)^n_1,IF(A44&lt;=540,IF(AND(B44&lt;=V_z,A44&lt;400),p_z,p_z*(V_z/B44)^n_2),p_r)))</f>
        <v>0.0873198629438594</v>
      </c>
      <c r="D44" s="4" t="str">
        <f aca="false">IF(A44&lt;=180,"admisie",IF(A44&lt;360,"comprimare",IF(A44&lt;=540,"ardere-destindere","evacuare")))</f>
        <v>comprimare</v>
      </c>
      <c r="E44" s="4"/>
      <c r="F44" s="4"/>
    </row>
    <row r="45" customFormat="false" ht="15" hidden="false" customHeight="false" outlineLevel="0" collapsed="false">
      <c r="A45" s="4" t="n">
        <v>200</v>
      </c>
      <c r="B45" s="18" t="n">
        <f aca="false">V_c+V_h*1000/2*((1-COS(RADIANS(A45)))+lam/4*(1-COS(RADIANS(2*A45))))</f>
        <v>390.943369912422</v>
      </c>
      <c r="C45" s="19" t="n">
        <f aca="false">IF(A45&lt;=180,p_a,IF(A45&lt;360,p_a*(V_a/B45)^n_1,IF(A45&lt;=540,IF(AND(B45&lt;=V_z,A45&lt;400),p_z,p_z*(V_z/B45)^n_2),p_r)))</f>
        <v>0.0883723168597282</v>
      </c>
      <c r="D45" s="4" t="str">
        <f aca="false">IF(A45&lt;=180,"admisie",IF(A45&lt;360,"comprimare",IF(A45&lt;=540,"ardere-destindere","evacuare")))</f>
        <v>comprimare</v>
      </c>
      <c r="E45" s="4"/>
      <c r="F45" s="4"/>
    </row>
    <row r="46" customFormat="false" ht="15" hidden="false" customHeight="false" outlineLevel="0" collapsed="false">
      <c r="A46" s="4" t="n">
        <v>205</v>
      </c>
      <c r="B46" s="18" t="n">
        <f aca="false">V_c+V_h*1000/2*((1-COS(RADIANS(A46)))+lam/4*(1-COS(RADIANS(2*A46))))</f>
        <v>386.526700601613</v>
      </c>
      <c r="C46" s="19" t="n">
        <f aca="false">IF(A46&lt;=180,p_a,IF(A46&lt;360,p_a*(V_a/B46)^n_1,IF(A46&lt;=540,IF(AND(B46&lt;=V_z,A46&lt;400),p_z,p_z*(V_z/B46)^n_2),p_r)))</f>
        <v>0.0897596042500156</v>
      </c>
      <c r="D46" s="4" t="str">
        <f aca="false">IF(A46&lt;=180,"admisie",IF(A46&lt;360,"comprimare",IF(A46&lt;=540,"ardere-destindere","evacuare")))</f>
        <v>comprimare</v>
      </c>
      <c r="E46" s="4"/>
      <c r="F46" s="4"/>
    </row>
    <row r="47" customFormat="false" ht="15" hidden="false" customHeight="false" outlineLevel="0" collapsed="false">
      <c r="A47" s="4" t="n">
        <v>210</v>
      </c>
      <c r="B47" s="18" t="n">
        <f aca="false">V_c+V_h*1000/2*((1-COS(RADIANS(A47)))+lam/4*(1-COS(RADIANS(2*A47))))</f>
        <v>381.123398449149</v>
      </c>
      <c r="C47" s="19" t="n">
        <f aca="false">IF(A47&lt;=180,p_a,IF(A47&lt;360,p_a*(V_a/B47)^n_1,IF(A47&lt;=540,IF(AND(B47&lt;=V_z,A47&lt;400),p_z,p_z*(V_z/B47)^n_2),p_r)))</f>
        <v>0.0915087630958309</v>
      </c>
      <c r="D47" s="4" t="str">
        <f aca="false">IF(A47&lt;=180,"admisie",IF(A47&lt;360,"comprimare",IF(A47&lt;=540,"ardere-destindere","evacuare")))</f>
        <v>comprimare</v>
      </c>
      <c r="E47" s="4"/>
      <c r="F47" s="4"/>
    </row>
    <row r="48" customFormat="false" ht="15" hidden="false" customHeight="false" outlineLevel="0" collapsed="false">
      <c r="A48" s="4" t="n">
        <v>215</v>
      </c>
      <c r="B48" s="18" t="n">
        <f aca="false">V_c+V_h*1000/2*((1-COS(RADIANS(A48)))+lam/4*(1-COS(RADIANS(2*A48))))</f>
        <v>374.733976576464</v>
      </c>
      <c r="C48" s="19" t="n">
        <f aca="false">IF(A48&lt;=180,p_a,IF(A48&lt;360,p_a*(V_a/B48)^n_1,IF(A48&lt;=540,IF(AND(B48&lt;=V_z,A48&lt;400),p_z,p_z*(V_z/B48)^n_2),p_r)))</f>
        <v>0.0936545427806708</v>
      </c>
      <c r="D48" s="4" t="str">
        <f aca="false">IF(A48&lt;=180,"admisie",IF(A48&lt;360,"comprimare",IF(A48&lt;=540,"ardere-destindere","evacuare")))</f>
        <v>comprimare</v>
      </c>
      <c r="E48" s="4"/>
      <c r="F48" s="4"/>
    </row>
    <row r="49" customFormat="false" ht="15" hidden="false" customHeight="false" outlineLevel="0" collapsed="false">
      <c r="A49" s="4" t="n">
        <v>220</v>
      </c>
      <c r="B49" s="18" t="n">
        <f aca="false">V_c+V_h*1000/2*((1-COS(RADIANS(A49)))+lam/4*(1-COS(RADIANS(2*A49))))</f>
        <v>367.362132345988</v>
      </c>
      <c r="C49" s="19" t="n">
        <f aca="false">IF(A49&lt;=180,p_a,IF(A49&lt;360,p_a*(V_a/B49)^n_1,IF(A49&lt;=540,IF(AND(B49&lt;=V_z,A49&lt;400),p_z,p_z*(V_z/B49)^n_2),p_r)))</f>
        <v>0.0962405803796888</v>
      </c>
      <c r="D49" s="4" t="str">
        <f aca="false">IF(A49&lt;=180,"admisie",IF(A49&lt;360,"comprimare",IF(A49&lt;=540,"ardere-destindere","evacuare")))</f>
        <v>comprimare</v>
      </c>
      <c r="E49" s="4"/>
      <c r="F49" s="4"/>
    </row>
    <row r="50" customFormat="false" ht="15" hidden="false" customHeight="false" outlineLevel="0" collapsed="false">
      <c r="A50" s="4" t="n">
        <v>225</v>
      </c>
      <c r="B50" s="18" t="n">
        <f aca="false">V_c+V_h*1000/2*((1-COS(RADIANS(A50)))+lam/4*(1-COS(RADIANS(2*A50))))</f>
        <v>359.016084397176</v>
      </c>
      <c r="C50" s="19" t="n">
        <f aca="false">IF(A50&lt;=180,p_a,IF(A50&lt;360,p_a*(V_a/B50)^n_1,IF(A50&lt;=540,IF(AND(B50&lt;=V_z,A50&lt;400),p_z,p_z*(V_z/B50)^n_2),p_r)))</f>
        <v>0.0993209459854275</v>
      </c>
      <c r="D50" s="4" t="str">
        <f aca="false">IF(A50&lt;=180,"admisie",IF(A50&lt;360,"comprimare",IF(A50&lt;=540,"ardere-destindere","evacuare")))</f>
        <v>comprimare</v>
      </c>
      <c r="E50" s="4"/>
      <c r="F50" s="4"/>
    </row>
    <row r="51" customFormat="false" ht="15" hidden="false" customHeight="false" outlineLevel="0" collapsed="false">
      <c r="A51" s="4" t="n">
        <v>230</v>
      </c>
      <c r="B51" s="18" t="n">
        <f aca="false">V_c+V_h*1000/2*((1-COS(RADIANS(A51)))+lam/4*(1-COS(RADIANS(2*A51))))</f>
        <v>349.709965075798</v>
      </c>
      <c r="C51" s="19" t="n">
        <f aca="false">IF(A51&lt;=180,p_a,IF(A51&lt;360,p_a*(V_a/B51)^n_1,IF(A51&lt;=540,IF(AND(B51&lt;=V_z,A51&lt;400),p_z,p_z*(V_z/B51)^n_2),p_r)))</f>
        <v>0.102962153759019</v>
      </c>
      <c r="D51" s="4" t="str">
        <f aca="false">IF(A51&lt;=180,"admisie",IF(A51&lt;360,"comprimare",IF(A51&lt;=540,"ardere-destindere","evacuare")))</f>
        <v>comprimare</v>
      </c>
      <c r="E51" s="4"/>
      <c r="F51" s="4"/>
    </row>
    <row r="52" customFormat="false" ht="15" hidden="false" customHeight="false" outlineLevel="0" collapsed="false">
      <c r="A52" s="4" t="n">
        <v>235</v>
      </c>
      <c r="B52" s="18" t="n">
        <f aca="false">V_c+V_h*1000/2*((1-COS(RADIANS(A52)))+lam/4*(1-COS(RADIANS(2*A52))))</f>
        <v>339.465213450474</v>
      </c>
      <c r="C52" s="19" t="n">
        <f aca="false">IF(A52&lt;=180,p_a,IF(A52&lt;360,p_a*(V_a/B52)^n_1,IF(A52&lt;=540,IF(AND(B52&lt;=V_z,A52&lt;400),p_z,p_z*(V_z/B52)^n_2),p_r)))</f>
        <v>0.107245767891022</v>
      </c>
      <c r="D52" s="4" t="str">
        <f aca="false">IF(A52&lt;=180,"admisie",IF(A52&lt;360,"comprimare",IF(A52&lt;=540,"ardere-destindere","evacuare")))</f>
        <v>comprimare</v>
      </c>
      <c r="E52" s="4"/>
      <c r="F52" s="4"/>
    </row>
    <row r="53" customFormat="false" ht="15" hidden="false" customHeight="false" outlineLevel="0" collapsed="false">
      <c r="A53" s="4" t="n">
        <v>240</v>
      </c>
      <c r="B53" s="18" t="n">
        <f aca="false">V_c+V_h*1000/2*((1-COS(RADIANS(A53)))+lam/4*(1-COS(RADIANS(2*A53))))</f>
        <v>328.311912720644</v>
      </c>
      <c r="C53" s="19" t="n">
        <f aca="false">IF(A53&lt;=180,p_a,IF(A53&lt;360,p_a*(V_a/B53)^n_1,IF(A53&lt;=540,IF(AND(B53&lt;=V_z,A53&lt;400),p_z,p_z*(V_z/B53)^n_2),p_r)))</f>
        <v>0.112271775987813</v>
      </c>
      <c r="D53" s="4" t="str">
        <f aca="false">IF(A53&lt;=180,"admisie",IF(A53&lt;360,"comprimare",IF(A53&lt;=540,"ardere-destindere","evacuare")))</f>
        <v>comprimare</v>
      </c>
      <c r="E53" s="4"/>
      <c r="F53" s="4"/>
    </row>
    <row r="54" customFormat="false" ht="15" hidden="false" customHeight="false" outlineLevel="0" collapsed="false">
      <c r="A54" s="4" t="n">
        <v>245</v>
      </c>
      <c r="B54" s="18" t="n">
        <f aca="false">V_c+V_h*1000/2*((1-COS(RADIANS(A54)))+lam/4*(1-COS(RADIANS(2*A54))))</f>
        <v>316.290016243348</v>
      </c>
      <c r="C54" s="19" t="n">
        <f aca="false">IF(A54&lt;=180,p_a,IF(A54&lt;360,p_a*(V_a/B54)^n_1,IF(A54&lt;=540,IF(AND(B54&lt;=V_z,A54&lt;400),p_z,p_z*(V_z/B54)^n_2),p_r)))</f>
        <v>0.11816296067334</v>
      </c>
      <c r="D54" s="4" t="str">
        <f aca="false">IF(A54&lt;=180,"admisie",IF(A54&lt;360,"comprimare",IF(A54&lt;=540,"ardere-destindere","evacuare")))</f>
        <v>comprimare</v>
      </c>
      <c r="E54" s="4"/>
      <c r="F54" s="4"/>
    </row>
    <row r="55" customFormat="false" ht="15" hidden="false" customHeight="false" outlineLevel="0" collapsed="false">
      <c r="A55" s="4" t="n">
        <v>250</v>
      </c>
      <c r="B55" s="18" t="n">
        <f aca="false">V_c+V_h*1000/2*((1-COS(RADIANS(A55)))+lam/4*(1-COS(RADIANS(2*A55))))</f>
        <v>303.45040863925</v>
      </c>
      <c r="C55" s="19" t="n">
        <f aca="false">IF(A55&lt;=180,p_a,IF(A55&lt;360,p_a*(V_a/B55)^n_1,IF(A55&lt;=540,IF(AND(B55&lt;=V_z,A55&lt;400),p_z,p_z*(V_z/B55)^n_2),p_r)))</f>
        <v>0.125070578955746</v>
      </c>
      <c r="D55" s="4" t="str">
        <f aca="false">IF(A55&lt;=180,"admisie",IF(A55&lt;360,"comprimare",IF(A55&lt;=540,"ardere-destindere","evacuare")))</f>
        <v>comprimare</v>
      </c>
      <c r="E55" s="4"/>
      <c r="F55" s="4"/>
    </row>
    <row r="56" customFormat="false" ht="15" hidden="false" customHeight="false" outlineLevel="0" collapsed="false">
      <c r="A56" s="4" t="n">
        <v>255</v>
      </c>
      <c r="B56" s="18" t="n">
        <f aca="false">V_c+V_h*1000/2*((1-COS(RADIANS(A56)))+lam/4*(1-COS(RADIANS(2*A56))))</f>
        <v>289.855752422087</v>
      </c>
      <c r="C56" s="19" t="n">
        <f aca="false">IF(A56&lt;=180,p_a,IF(A56&lt;360,p_a*(V_a/B56)^n_1,IF(A56&lt;=540,IF(AND(B56&lt;=V_z,A56&lt;400),p_z,p_z*(V_z/B56)^n_2),p_r)))</f>
        <v>0.133181765547602</v>
      </c>
      <c r="D56" s="4" t="str">
        <f aca="false">IF(A56&lt;=180,"admisie",IF(A56&lt;360,"comprimare",IF(A56&lt;=540,"ardere-destindere","evacuare")))</f>
        <v>comprimare</v>
      </c>
      <c r="E56" s="4"/>
      <c r="F56" s="4"/>
    </row>
    <row r="57" customFormat="false" ht="15" hidden="false" customHeight="false" outlineLevel="0" collapsed="false">
      <c r="A57" s="4" t="n">
        <v>260</v>
      </c>
      <c r="B57" s="18" t="n">
        <f aca="false">V_c+V_h*1000/2*((1-COS(RADIANS(A57)))+lam/4*(1-COS(RADIANS(2*A57))))</f>
        <v>275.58107621699</v>
      </c>
      <c r="C57" s="19" t="n">
        <f aca="false">IF(A57&lt;=180,p_a,IF(A57&lt;360,p_a*(V_a/B57)^n_1,IF(A57&lt;=540,IF(AND(B57&lt;=V_z,A57&lt;400),p_z,p_z*(V_z/B57)^n_2),p_r)))</f>
        <v>0.142729220470972</v>
      </c>
      <c r="D57" s="4" t="str">
        <f aca="false">IF(A57&lt;=180,"admisie",IF(A57&lt;360,"comprimare",IF(A57&lt;=540,"ardere-destindere","evacuare")))</f>
        <v>comprimare</v>
      </c>
      <c r="E57" s="4"/>
      <c r="F57" s="4"/>
    </row>
    <row r="58" customFormat="false" ht="15" hidden="false" customHeight="false" outlineLevel="0" collapsed="false">
      <c r="A58" s="4" t="n">
        <v>265</v>
      </c>
      <c r="B58" s="18" t="n">
        <f aca="false">V_c+V_h*1000/2*((1-COS(RADIANS(A58)))+lam/4*(1-COS(RADIANS(2*A58))))</f>
        <v>260.714067727922</v>
      </c>
      <c r="C58" s="19" t="n">
        <f aca="false">IF(A58&lt;=180,p_a,IF(A58&lt;360,p_a*(V_a/B58)^n_1,IF(A58&lt;=540,IF(AND(B58&lt;=V_z,A58&lt;400),p_z,p_z*(V_z/B58)^n_2),p_r)))</f>
        <v>0.15400393488752</v>
      </c>
      <c r="D58" s="4" t="str">
        <f aca="false">IF(A58&lt;=180,"admisie",IF(A58&lt;360,"comprimare",IF(A58&lt;=540,"ardere-destindere","evacuare")))</f>
        <v>comprimare</v>
      </c>
      <c r="E58" s="4"/>
      <c r="F58" s="4"/>
    </row>
    <row r="59" customFormat="false" ht="15" hidden="false" customHeight="false" outlineLevel="0" collapsed="false">
      <c r="A59" s="4" t="n">
        <v>270</v>
      </c>
      <c r="B59" s="18" t="n">
        <f aca="false">V_c+V_h*1000/2*((1-COS(RADIANS(A59)))+lam/4*(1-COS(RADIANS(2*A59))))</f>
        <v>245.355042972947</v>
      </c>
      <c r="C59" s="19" t="n">
        <f aca="false">IF(A59&lt;=180,p_a,IF(A59&lt;360,p_a*(V_a/B59)^n_1,IF(A59&lt;=540,IF(AND(B59&lt;=V_z,A59&lt;400),p_z,p_z*(V_z/B59)^n_2),p_r)))</f>
        <v>0.167371965713654</v>
      </c>
      <c r="D59" s="4" t="str">
        <f aca="false">IF(A59&lt;=180,"admisie",IF(A59&lt;360,"comprimare",IF(A59&lt;=540,"ardere-destindere","evacuare")))</f>
        <v>comprimare</v>
      </c>
      <c r="E59" s="4"/>
      <c r="F59" s="4"/>
    </row>
    <row r="60" customFormat="false" ht="15" hidden="false" customHeight="false" outlineLevel="0" collapsed="false">
      <c r="A60" s="4" t="n">
        <v>275</v>
      </c>
      <c r="B60" s="18" t="n">
        <f aca="false">V_c+V_h*1000/2*((1-COS(RADIANS(A60)))+lam/4*(1-COS(RADIANS(2*A60))))</f>
        <v>229.61657267897</v>
      </c>
      <c r="C60" s="19" t="n">
        <f aca="false">IF(A60&lt;=180,p_a,IF(A60&lt;360,p_a*(V_a/B60)^n_1,IF(A60&lt;=540,IF(AND(B60&lt;=V_z,A60&lt;400),p_z,p_z*(V_z/B60)^n_2),p_r)))</f>
        <v>0.183296601333228</v>
      </c>
      <c r="D60" s="4" t="str">
        <f aca="false">IF(A60&lt;=180,"admisie",IF(A60&lt;360,"comprimare",IF(A60&lt;=540,"ardere-destindere","evacuare")))</f>
        <v>comprimare</v>
      </c>
      <c r="E60" s="4"/>
      <c r="F60" s="4"/>
    </row>
    <row r="61" customFormat="false" ht="15" hidden="false" customHeight="false" outlineLevel="0" collapsed="false">
      <c r="A61" s="4" t="n">
        <v>280</v>
      </c>
      <c r="B61" s="18" t="n">
        <f aca="false">V_c+V_h*1000/2*((1-COS(RADIANS(A61)))+lam/4*(1-COS(RADIANS(2*A61))))</f>
        <v>213.622756833591</v>
      </c>
      <c r="C61" s="19" t="n">
        <f aca="false">IF(A61&lt;=180,p_a,IF(A61&lt;360,p_a*(V_a/B61)^n_1,IF(A61&lt;=540,IF(AND(B61&lt;=V_z,A61&lt;400),p_z,p_z*(V_z/B61)^n_2),p_r)))</f>
        <v>0.202367669987196</v>
      </c>
      <c r="D61" s="4" t="str">
        <f aca="false">IF(A61&lt;=180,"admisie",IF(A61&lt;360,"comprimare",IF(A61&lt;=540,"ardere-destindere","evacuare")))</f>
        <v>comprimare</v>
      </c>
      <c r="E61" s="4"/>
      <c r="F61" s="4"/>
    </row>
    <row r="62" customFormat="false" ht="15" hidden="false" customHeight="false" outlineLevel="0" collapsed="false">
      <c r="A62" s="4" t="n">
        <v>285</v>
      </c>
      <c r="B62" s="18" t="n">
        <f aca="false">V_c+V_h*1000/2*((1-COS(RADIANS(A62)))+lam/4*(1-COS(RADIANS(2*A62))))</f>
        <v>197.508148926203</v>
      </c>
      <c r="C62" s="19" t="n">
        <f aca="false">IF(A62&lt;=180,p_a,IF(A62&lt;360,p_a*(V_a/B62)^n_1,IF(A62&lt;=540,IF(AND(B62&lt;=V_z,A62&lt;400),p_z,p_z*(V_z/B62)^n_2),p_r)))</f>
        <v>0.225340201551457</v>
      </c>
      <c r="D62" s="4" t="str">
        <f aca="false">IF(A62&lt;=180,"admisie",IF(A62&lt;360,"comprimare",IF(A62&lt;=540,"ardere-destindere","evacuare")))</f>
        <v>comprimare</v>
      </c>
      <c r="E62" s="4"/>
      <c r="F62" s="4"/>
    </row>
    <row r="63" customFormat="false" ht="15" hidden="false" customHeight="false" outlineLevel="0" collapsed="false">
      <c r="A63" s="4" t="n">
        <v>290</v>
      </c>
      <c r="B63" s="18" t="n">
        <f aca="false">V_c+V_h*1000/2*((1-COS(RADIANS(A63)))+lam/4*(1-COS(RADIANS(2*A63))))</f>
        <v>181.416342054493</v>
      </c>
      <c r="C63" s="19" t="n">
        <f aca="false">IF(A63&lt;=180,p_a,IF(A63&lt;360,p_a*(V_a/B63)^n_1,IF(A63&lt;=540,IF(AND(B63&lt;=V_z,A63&lt;400),p_z,p_z*(V_z/B63)^n_2),p_r)))</f>
        <v>0.253185058364815</v>
      </c>
      <c r="D63" s="4" t="str">
        <f aca="false">IF(A63&lt;=180,"admisie",IF(A63&lt;360,"comprimare",IF(A63&lt;=540,"ardere-destindere","evacuare")))</f>
        <v>comprimare</v>
      </c>
      <c r="E63" s="4"/>
      <c r="F63" s="4"/>
    </row>
    <row r="64" customFormat="false" ht="15" hidden="false" customHeight="false" outlineLevel="0" collapsed="false">
      <c r="A64" s="4" t="n">
        <v>295</v>
      </c>
      <c r="B64" s="18" t="n">
        <f aca="false">V_c+V_h*1000/2*((1-COS(RADIANS(A64)))+lam/4*(1-COS(RADIANS(2*A64))))</f>
        <v>165.498239502612</v>
      </c>
      <c r="C64" s="19" t="n">
        <f aca="false">IF(A64&lt;=180,p_a,IF(A64&lt;360,p_a*(V_a/B64)^n_1,IF(A64&lt;=540,IF(AND(B64&lt;=V_z,A64&lt;400),p_z,p_z*(V_z/B64)^n_2),p_r)))</f>
        <v>0.287154219579279</v>
      </c>
      <c r="D64" s="4" t="str">
        <f aca="false">IF(A64&lt;=180,"admisie",IF(A64&lt;360,"comprimare",IF(A64&lt;=540,"ardere-destindere","evacuare")))</f>
        <v>comprimare</v>
      </c>
      <c r="E64" s="4"/>
      <c r="F64" s="4"/>
    </row>
    <row r="65" customFormat="false" ht="15" hidden="false" customHeight="false" outlineLevel="0" collapsed="false">
      <c r="A65" s="4" t="n">
        <v>300</v>
      </c>
      <c r="B65" s="18" t="n">
        <f aca="false">V_c+V_h*1000/2*((1-COS(RADIANS(A65)))+lam/4*(1-COS(RADIANS(2*A65))))</f>
        <v>149.91004229549</v>
      </c>
      <c r="C65" s="19" t="n">
        <f aca="false">IF(A65&lt;=180,p_a,IF(A65&lt;360,p_a*(V_a/B65)^n_1,IF(A65&lt;=540,IF(AND(B65&lt;=V_z,A65&lt;400),p_z,p_z*(V_z/B65)^n_2),p_r)))</f>
        <v>0.328862462054133</v>
      </c>
      <c r="D65" s="4" t="str">
        <f aca="false">IF(A65&lt;=180,"admisie",IF(A65&lt;360,"comprimare",IF(A65&lt;=540,"ardere-destindere","evacuare")))</f>
        <v>comprimare</v>
      </c>
      <c r="E65" s="4"/>
      <c r="F65" s="4"/>
    </row>
    <row r="66" customFormat="false" ht="15" hidden="false" customHeight="false" outlineLevel="0" collapsed="false">
      <c r="A66" s="4" t="n">
        <v>305</v>
      </c>
      <c r="B66" s="18" t="n">
        <f aca="false">V_c+V_h*1000/2*((1-COS(RADIANS(A66)))+lam/4*(1-COS(RADIANS(2*A66))))</f>
        <v>134.810995296832</v>
      </c>
      <c r="C66" s="19" t="n">
        <f aca="false">IF(A66&lt;=180,p_a,IF(A66&lt;360,p_a*(V_a/B66)^n_1,IF(A66&lt;=540,IF(AND(B66&lt;=V_z,A66&lt;400),p_z,p_z*(V_z/B66)^n_2),p_r)))</f>
        <v>0.380383729536808</v>
      </c>
      <c r="D66" s="4" t="str">
        <f aca="false">IF(A66&lt;=180,"admisie",IF(A66&lt;360,"comprimare",IF(A66&lt;=540,"ardere-destindere","evacuare")))</f>
        <v>comprimare</v>
      </c>
      <c r="E66" s="4"/>
      <c r="F66" s="4"/>
    </row>
    <row r="67" customFormat="false" ht="15" hidden="false" customHeight="false" outlineLevel="0" collapsed="false">
      <c r="A67" s="4" t="n">
        <v>310</v>
      </c>
      <c r="B67" s="18" t="n">
        <f aca="false">V_c+V_h*1000/2*((1-COS(RADIANS(A67)))+lam/4*(1-COS(RADIANS(2*A67))))</f>
        <v>120.360941367413</v>
      </c>
      <c r="C67" s="19" t="n">
        <f aca="false">IF(A67&lt;=180,p_a,IF(A67&lt;360,p_a*(V_a/B67)^n_1,IF(A67&lt;=540,IF(AND(B67&lt;=V_z,A67&lt;400),p_z,p_z*(V_z/B67)^n_2),p_r)))</f>
        <v>0.444351373871529</v>
      </c>
      <c r="D67" s="4" t="str">
        <f aca="false">IF(A67&lt;=180,"admisie",IF(A67&lt;360,"comprimare",IF(A67&lt;=540,"ardere-destindere","evacuare")))</f>
        <v>comprimare</v>
      </c>
      <c r="E67" s="4"/>
      <c r="F67" s="4"/>
    </row>
    <row r="68" customFormat="false" ht="15" hidden="false" customHeight="false" outlineLevel="0" collapsed="false">
      <c r="A68" s="4" t="n">
        <v>315</v>
      </c>
      <c r="B68" s="18" t="n">
        <f aca="false">V_c+V_h*1000/2*((1-COS(RADIANS(A68)))+lam/4*(1-COS(RADIANS(2*A68))))</f>
        <v>106.717739689196</v>
      </c>
      <c r="C68" s="19" t="n">
        <f aca="false">IF(A68&lt;=180,p_a,IF(A68&lt;360,p_a*(V_a/B68)^n_1,IF(A68&lt;=540,IF(AND(B68&lt;=V_z,A68&lt;400),p_z,p_z*(V_z/B68)^n_2),p_r)))</f>
        <v>0.524030508591963</v>
      </c>
      <c r="D68" s="4" t="str">
        <f aca="false">IF(A68&lt;=180,"admisie",IF(A68&lt;360,"comprimare",IF(A68&lt;=540,"ardere-destindere","evacuare")))</f>
        <v>comprimare</v>
      </c>
      <c r="E68" s="4"/>
      <c r="F68" s="4"/>
    </row>
    <row r="69" customFormat="false" ht="15" hidden="false" customHeight="false" outlineLevel="0" collapsed="false">
      <c r="A69" s="4" t="n">
        <v>320</v>
      </c>
      <c r="B69" s="18" t="n">
        <f aca="false">V_c+V_h*1000/2*((1-COS(RADIANS(A69)))+lam/4*(1-COS(RADIANS(2*A69))))</f>
        <v>94.0346093835462</v>
      </c>
      <c r="C69" s="19" t="n">
        <f aca="false">IF(A69&lt;=180,p_a,IF(A69&lt;360,p_a*(V_a/B69)^n_1,IF(A69&lt;=540,IF(AND(B69&lt;=V_z,A69&lt;400),p_z,p_z*(V_z/B69)^n_2),p_r)))</f>
        <v>0.623286986246026</v>
      </c>
      <c r="D69" s="4" t="str">
        <f aca="false">IF(A69&lt;=180,"admisie",IF(A69&lt;360,"comprimare",IF(A69&lt;=540,"ardere-destindere","evacuare")))</f>
        <v>comprimare</v>
      </c>
      <c r="E69" s="4"/>
      <c r="F69" s="4"/>
    </row>
    <row r="70" customFormat="false" ht="15" hidden="false" customHeight="false" outlineLevel="0" collapsed="false">
      <c r="A70" s="4" t="n">
        <v>325</v>
      </c>
      <c r="B70" s="18" t="n">
        <f aca="false">V_c+V_h*1000/2*((1-COS(RADIANS(A70)))+lam/4*(1-COS(RADIANS(2*A70))))</f>
        <v>82.4574628489751</v>
      </c>
      <c r="C70" s="19" t="n">
        <f aca="false">IF(A70&lt;=180,p_a,IF(A70&lt;360,p_a*(V_a/B70)^n_1,IF(A70&lt;=540,IF(AND(B70&lt;=V_z,A70&lt;400),p_z,p_z*(V_z/B70)^n_2),p_r)))</f>
        <v>0.746295231194518</v>
      </c>
      <c r="D70" s="4" t="str">
        <f aca="false">IF(A70&lt;=180,"admisie",IF(A70&lt;360,"comprimare",IF(A70&lt;=540,"ardere-destindere","evacuare")))</f>
        <v>comprimare</v>
      </c>
      <c r="E70" s="4"/>
      <c r="F70" s="4"/>
    </row>
    <row r="71" customFormat="false" ht="15" hidden="false" customHeight="false" outlineLevel="0" collapsed="false">
      <c r="A71" s="4" t="n">
        <v>330</v>
      </c>
      <c r="B71" s="18" t="n">
        <f aca="false">V_c+V_h*1000/2*((1-COS(RADIANS(A71)))+lam/4*(1-COS(RADIANS(2*A71))))</f>
        <v>72.1222947074628</v>
      </c>
      <c r="C71" s="19" t="n">
        <f aca="false">IF(A71&lt;=180,p_a,IF(A71&lt;360,p_a*(V_a/B71)^n_1,IF(A71&lt;=540,IF(AND(B71&lt;=V_z,A71&lt;400),p_z,p_z*(V_z/B71)^n_2),p_r)))</f>
        <v>0.896695460940952</v>
      </c>
      <c r="D71" s="4" t="str">
        <f aca="false">IF(A71&lt;=180,"admisie",IF(A71&lt;360,"comprimare",IF(A71&lt;=540,"ardere-destindere","evacuare")))</f>
        <v>comprimare</v>
      </c>
      <c r="E71" s="4"/>
      <c r="F71" s="4"/>
    </row>
    <row r="72" customFormat="false" ht="15" hidden="false" customHeight="false" outlineLevel="0" collapsed="false">
      <c r="A72" s="4" t="n">
        <v>335</v>
      </c>
      <c r="B72" s="18" t="n">
        <f aca="false">V_c+V_h*1000/2*((1-COS(RADIANS(A72)))+lam/4*(1-COS(RADIANS(2*A72))))</f>
        <v>63.1526918251723</v>
      </c>
      <c r="C72" s="19" t="n">
        <f aca="false">IF(A72&lt;=180,p_a,IF(A72&lt;360,p_a*(V_a/B72)^n_1,IF(A72&lt;=540,IF(AND(B72&lt;=V_z,A72&lt;400),p_z,p_z*(V_z/B72)^n_2),p_r)))</f>
        <v>1.07576507243998</v>
      </c>
      <c r="D72" s="4" t="str">
        <f aca="false">IF(A72&lt;=180,"admisie",IF(A72&lt;360,"comprimare",IF(A72&lt;=540,"ardere-destindere","evacuare")))</f>
        <v>comprimare</v>
      </c>
      <c r="E72" s="4"/>
      <c r="F72" s="4"/>
    </row>
    <row r="73" customFormat="false" ht="15" hidden="false" customHeight="false" outlineLevel="0" collapsed="false">
      <c r="A73" s="4" t="n">
        <v>340</v>
      </c>
      <c r="B73" s="18" t="n">
        <f aca="false">V_c+V_h*1000/2*((1-COS(RADIANS(A73)))+lam/4*(1-COS(RADIANS(2*A73))))</f>
        <v>55.6575275665799</v>
      </c>
      <c r="C73" s="19" t="n">
        <f aca="false">IF(A73&lt;=180,p_a,IF(A73&lt;360,p_a*(V_a/B73)^n_1,IF(A73&lt;=540,IF(AND(B73&lt;=V_z,A73&lt;400),p_z,p_z*(V_z/B73)^n_2),p_r)))</f>
        <v>1.27919857739801</v>
      </c>
      <c r="D73" s="4" t="str">
        <f aca="false">IF(A73&lt;=180,"admisie",IF(A73&lt;360,"comprimare",IF(A73&lt;=540,"ardere-destindere","evacuare")))</f>
        <v>comprimare</v>
      </c>
      <c r="E73" s="4"/>
      <c r="F73" s="4"/>
    </row>
    <row r="74" customFormat="false" ht="15" hidden="false" customHeight="false" outlineLevel="0" collapsed="false">
      <c r="A74" s="4" t="n">
        <v>345</v>
      </c>
      <c r="B74" s="18" t="n">
        <f aca="false">V_c+V_h*1000/2*((1-COS(RADIANS(A74)))+lam/4*(1-COS(RADIANS(2*A74))))</f>
        <v>49.7288993102951</v>
      </c>
      <c r="C74" s="19" t="n">
        <f aca="false">IF(A74&lt;=180,p_a,IF(A74&lt;360,p_a*(V_a/B74)^n_1,IF(A74&lt;=540,IF(AND(B74&lt;=V_z,A74&lt;400),p_z,p_z*(V_z/B74)^n_2),p_r)))</f>
        <v>1.49278565294581</v>
      </c>
      <c r="D74" s="4" t="str">
        <f aca="false">IF(A74&lt;=180,"admisie",IF(A74&lt;360,"comprimare",IF(A74&lt;=540,"ardere-destindere","evacuare")))</f>
        <v>comprimare</v>
      </c>
      <c r="E74" s="4"/>
      <c r="F74" s="4"/>
    </row>
    <row r="75" customFormat="false" ht="15" hidden="false" customHeight="false" outlineLevel="0" collapsed="false">
      <c r="A75" s="4" t="n">
        <v>350</v>
      </c>
      <c r="B75" s="18" t="n">
        <f aca="false">V_c+V_h*1000/2*((1-COS(RADIANS(A75)))+lam/4*(1-COS(RADIANS(2*A75))))</f>
        <v>45.4403624145108</v>
      </c>
      <c r="C75" s="19" t="n">
        <f aca="false">IF(A75&lt;=180,p_a,IF(A75&lt;360,p_a*(V_a/B75)^n_1,IF(A75&lt;=540,IF(AND(B75&lt;=V_z,A75&lt;400),p_z,p_z*(V_z/B75)^n_2),p_r)))</f>
        <v>1.68924653269558</v>
      </c>
      <c r="D75" s="4" t="str">
        <f aca="false">IF(A75&lt;=180,"admisie",IF(A75&lt;360,"comprimare",IF(A75&lt;=540,"ardere-destindere","evacuare")))</f>
        <v>comprimare</v>
      </c>
      <c r="E75" s="4"/>
      <c r="F75" s="4"/>
    </row>
    <row r="76" customFormat="false" ht="15" hidden="false" customHeight="false" outlineLevel="0" collapsed="false">
      <c r="A76" s="4" t="n">
        <v>355</v>
      </c>
      <c r="B76" s="18" t="n">
        <f aca="false">V_c+V_h*1000/2*((1-COS(RADIANS(A76)))+lam/4*(1-COS(RADIANS(2*A76))))</f>
        <v>42.8455064357373</v>
      </c>
      <c r="C76" s="19" t="n">
        <f aca="false">IF(A76&lt;=180,p_a,IF(A76&lt;360,p_a*(V_a/B76)^n_1,IF(A76&lt;=540,IF(AND(B76&lt;=V_z,A76&lt;400),p_z,p_z*(V_z/B76)^n_2),p_r)))</f>
        <v>1.83105750862306</v>
      </c>
      <c r="D76" s="4" t="str">
        <f aca="false">IF(A76&lt;=180,"admisie",IF(A76&lt;360,"comprimare",IF(A76&lt;=540,"ardere-destindere","evacuare")))</f>
        <v>comprimare</v>
      </c>
      <c r="E76" s="4"/>
      <c r="F76" s="4"/>
    </row>
    <row r="77" customFormat="false" ht="15" hidden="false" customHeight="false" outlineLevel="0" collapsed="false">
      <c r="A77" s="4" t="n">
        <v>360</v>
      </c>
      <c r="B77" s="18" t="n">
        <f aca="false">V_c+V_h*1000/2*((1-COS(RADIANS(A77)))+lam/4*(1-COS(RADIANS(2*A77))))</f>
        <v>41.9769106882715</v>
      </c>
      <c r="C77" s="19" t="n">
        <f aca="false">IF(A77&lt;=180,p_a,IF(A77&lt;360,p_a*(V_a/B77)^n_1,IF(A77&lt;=540,IF(AND(B77&lt;=V_z,A77&lt;400),p_z,p_z*(V_z/B77)^n_2),p_r)))</f>
        <v>6.87426314307414</v>
      </c>
      <c r="D77" s="4" t="str">
        <f aca="false">IF(A77&lt;=180,"admisie",IF(A77&lt;360,"comprimare",IF(A77&lt;=540,"ardere-destindere","evacuare")))</f>
        <v>ardere-destindere</v>
      </c>
      <c r="E77" s="4"/>
      <c r="F77" s="4"/>
    </row>
    <row r="78" customFormat="false" ht="15" hidden="false" customHeight="false" outlineLevel="0" collapsed="false">
      <c r="A78" s="4" t="n">
        <v>365</v>
      </c>
      <c r="B78" s="18" t="n">
        <f aca="false">V_c+V_h*1000/2*((1-COS(RADIANS(A78)))+lam/4*(1-COS(RADIANS(2*A78))))</f>
        <v>42.8455064357373</v>
      </c>
      <c r="C78" s="19" t="n">
        <f aca="false">IF(A78&lt;=180,p_a,IF(A78&lt;360,p_a*(V_a/B78)^n_1,IF(A78&lt;=540,IF(AND(B78&lt;=V_z,A78&lt;400),p_z,p_z*(V_z/B78)^n_2),p_r)))</f>
        <v>6.70180071641588</v>
      </c>
      <c r="D78" s="4" t="str">
        <f aca="false">IF(A78&lt;=180,"admisie",IF(A78&lt;360,"comprimare",IF(A78&lt;=540,"ardere-destindere","evacuare")))</f>
        <v>ardere-destindere</v>
      </c>
      <c r="E78" s="4"/>
      <c r="F78" s="4"/>
    </row>
    <row r="79" customFormat="false" ht="15" hidden="false" customHeight="false" outlineLevel="0" collapsed="false">
      <c r="A79" s="4" t="n">
        <v>370</v>
      </c>
      <c r="B79" s="18" t="n">
        <f aca="false">V_c+V_h*1000/2*((1-COS(RADIANS(A79)))+lam/4*(1-COS(RADIANS(2*A79))))</f>
        <v>45.4403624145108</v>
      </c>
      <c r="C79" s="19" t="n">
        <f aca="false">IF(A79&lt;=180,p_a,IF(A79&lt;360,p_a*(V_a/B79)^n_1,IF(A79&lt;=540,IF(AND(B79&lt;=V_z,A79&lt;400),p_z,p_z*(V_z/B79)^n_2),p_r)))</f>
        <v>6.23033862908944</v>
      </c>
      <c r="D79" s="4" t="str">
        <f aca="false">IF(A79&lt;=180,"admisie",IF(A79&lt;360,"comprimare",IF(A79&lt;=540,"ardere-destindere","evacuare")))</f>
        <v>ardere-destindere</v>
      </c>
      <c r="E79" s="4"/>
      <c r="F79" s="4"/>
    </row>
    <row r="80" customFormat="false" ht="15" hidden="false" customHeight="false" outlineLevel="0" collapsed="false">
      <c r="A80" s="4" t="n">
        <v>375</v>
      </c>
      <c r="B80" s="18" t="n">
        <f aca="false">V_c+V_h*1000/2*((1-COS(RADIANS(A80)))+lam/4*(1-COS(RADIANS(2*A80))))</f>
        <v>49.7288993102951</v>
      </c>
      <c r="C80" s="19" t="n">
        <f aca="false">IF(A80&lt;=180,p_a,IF(A80&lt;360,p_a*(V_a/B80)^n_1,IF(A80&lt;=540,IF(AND(B80&lt;=V_z,A80&lt;400),p_z,p_z*(V_z/B80)^n_2),p_r)))</f>
        <v>5.57085839059707</v>
      </c>
      <c r="D80" s="4" t="str">
        <f aca="false">IF(A80&lt;=180,"admisie",IF(A80&lt;360,"comprimare",IF(A80&lt;=540,"ardere-destindere","evacuare")))</f>
        <v>ardere-destindere</v>
      </c>
      <c r="E80" s="4"/>
      <c r="F80" s="4"/>
    </row>
    <row r="81" customFormat="false" ht="15" hidden="false" customHeight="false" outlineLevel="0" collapsed="false">
      <c r="A81" s="4" t="n">
        <v>380</v>
      </c>
      <c r="B81" s="18" t="n">
        <f aca="false">V_c+V_h*1000/2*((1-COS(RADIANS(A81)))+lam/4*(1-COS(RADIANS(2*A81))))</f>
        <v>55.6575275665798</v>
      </c>
      <c r="C81" s="19" t="n">
        <f aca="false">IF(A81&lt;=180,p_a,IF(A81&lt;360,p_a*(V_a/B81)^n_1,IF(A81&lt;=540,IF(AND(B81&lt;=V_z,A81&lt;400),p_z,p_z*(V_z/B81)^n_2),p_r)))</f>
        <v>4.84439439182054</v>
      </c>
      <c r="D81" s="4" t="str">
        <f aca="false">IF(A81&lt;=180,"admisie",IF(A81&lt;360,"comprimare",IF(A81&lt;=540,"ardere-destindere","evacuare")))</f>
        <v>ardere-destindere</v>
      </c>
      <c r="E81" s="4"/>
      <c r="F81" s="4"/>
    </row>
    <row r="82" customFormat="false" ht="15" hidden="false" customHeight="false" outlineLevel="0" collapsed="false">
      <c r="A82" s="4" t="n">
        <v>385</v>
      </c>
      <c r="B82" s="18" t="n">
        <f aca="false">V_c+V_h*1000/2*((1-COS(RADIANS(A82)))+lam/4*(1-COS(RADIANS(2*A82))))</f>
        <v>63.1526918251722</v>
      </c>
      <c r="C82" s="19" t="n">
        <f aca="false">IF(A82&lt;=180,p_a,IF(A82&lt;360,p_a*(V_a/B82)^n_1,IF(A82&lt;=540,IF(AND(B82&lt;=V_z,A82&lt;400),p_z,p_z*(V_z/B82)^n_2),p_r)))</f>
        <v>4.1416355286608</v>
      </c>
      <c r="D82" s="4" t="str">
        <f aca="false">IF(A82&lt;=180,"admisie",IF(A82&lt;360,"comprimare",IF(A82&lt;=540,"ardere-destindere","evacuare")))</f>
        <v>ardere-destindere</v>
      </c>
      <c r="E82" s="4"/>
      <c r="F82" s="4"/>
    </row>
    <row r="83" customFormat="false" ht="15" hidden="false" customHeight="false" outlineLevel="0" collapsed="false">
      <c r="A83" s="4" t="n">
        <v>390</v>
      </c>
      <c r="B83" s="18" t="n">
        <f aca="false">V_c+V_h*1000/2*((1-COS(RADIANS(A83)))+lam/4*(1-COS(RADIANS(2*A83))))</f>
        <v>72.1222947074627</v>
      </c>
      <c r="C83" s="19" t="n">
        <f aca="false">IF(A83&lt;=180,p_a,IF(A83&lt;360,p_a*(V_a/B83)^n_1,IF(A83&lt;=540,IF(AND(B83&lt;=V_z,A83&lt;400),p_z,p_z*(V_z/B83)^n_2),p_r)))</f>
        <v>3.51251844177433</v>
      </c>
      <c r="D83" s="4" t="str">
        <f aca="false">IF(A83&lt;=180,"admisie",IF(A83&lt;360,"comprimare",IF(A83&lt;=540,"ardere-destindere","evacuare")))</f>
        <v>ardere-destindere</v>
      </c>
      <c r="E83" s="4"/>
      <c r="F83" s="4"/>
    </row>
    <row r="84" customFormat="false" ht="15" hidden="false" customHeight="false" outlineLevel="0" collapsed="false">
      <c r="A84" s="4" t="n">
        <v>395</v>
      </c>
      <c r="B84" s="18" t="n">
        <f aca="false">V_c+V_h*1000/2*((1-COS(RADIANS(A84)))+lam/4*(1-COS(RADIANS(2*A84))))</f>
        <v>82.457462848975</v>
      </c>
      <c r="C84" s="19" t="n">
        <f aca="false">IF(A84&lt;=180,p_a,IF(A84&lt;360,p_a*(V_a/B84)^n_1,IF(A84&lt;=540,IF(AND(B84&lt;=V_z,A84&lt;400),p_z,p_z*(V_z/B84)^n_2),p_r)))</f>
        <v>2.97485942184454</v>
      </c>
      <c r="D84" s="4" t="str">
        <f aca="false">IF(A84&lt;=180,"admisie",IF(A84&lt;360,"comprimare",IF(A84&lt;=540,"ardere-destindere","evacuare")))</f>
        <v>ardere-destindere</v>
      </c>
      <c r="E84" s="4"/>
      <c r="F84" s="4"/>
    </row>
    <row r="85" customFormat="false" ht="15" hidden="false" customHeight="false" outlineLevel="0" collapsed="false">
      <c r="A85" s="4" t="n">
        <v>400</v>
      </c>
      <c r="B85" s="18" t="n">
        <f aca="false">V_c+V_h*1000/2*((1-COS(RADIANS(A85)))+lam/4*(1-COS(RADIANS(2*A85))))</f>
        <v>94.0346093835461</v>
      </c>
      <c r="C85" s="19" t="n">
        <f aca="false">IF(A85&lt;=180,p_a,IF(A85&lt;360,p_a*(V_a/B85)^n_1,IF(A85&lt;=540,IF(AND(B85&lt;=V_z,A85&lt;400),p_z,p_z*(V_z/B85)^n_2),p_r)))</f>
        <v>2.52744799870529</v>
      </c>
      <c r="D85" s="4" t="str">
        <f aca="false">IF(A85&lt;=180,"admisie",IF(A85&lt;360,"comprimare",IF(A85&lt;=540,"ardere-destindere","evacuare")))</f>
        <v>ardere-destindere</v>
      </c>
      <c r="E85" s="4"/>
      <c r="F85" s="4"/>
    </row>
    <row r="86" customFormat="false" ht="15" hidden="false" customHeight="false" outlineLevel="0" collapsed="false">
      <c r="A86" s="4" t="n">
        <v>405</v>
      </c>
      <c r="B86" s="18" t="n">
        <f aca="false">V_c+V_h*1000/2*((1-COS(RADIANS(A86)))+lam/4*(1-COS(RADIANS(2*A86))))</f>
        <v>106.717739689196</v>
      </c>
      <c r="C86" s="19" t="n">
        <f aca="false">IF(A86&lt;=180,p_a,IF(A86&lt;360,p_a*(V_a/B86)^n_1,IF(A86&lt;=540,IF(AND(B86&lt;=V_z,A86&lt;400),p_z,p_z*(V_z/B86)^n_2),p_r)))</f>
        <v>2.16030069803762</v>
      </c>
      <c r="D86" s="4" t="str">
        <f aca="false">IF(A86&lt;=180,"admisie",IF(A86&lt;360,"comprimare",IF(A86&lt;=540,"ardere-destindere","evacuare")))</f>
        <v>ardere-destindere</v>
      </c>
      <c r="E86" s="4"/>
      <c r="F86" s="4"/>
    </row>
    <row r="87" customFormat="false" ht="15" hidden="false" customHeight="false" outlineLevel="0" collapsed="false">
      <c r="A87" s="4" t="n">
        <v>410</v>
      </c>
      <c r="B87" s="18" t="n">
        <f aca="false">V_c+V_h*1000/2*((1-COS(RADIANS(A87)))+lam/4*(1-COS(RADIANS(2*A87))))</f>
        <v>120.360941367413</v>
      </c>
      <c r="C87" s="19" t="n">
        <f aca="false">IF(A87&lt;=180,p_a,IF(A87&lt;360,p_a*(V_a/B87)^n_1,IF(A87&lt;=540,IF(AND(B87&lt;=V_z,A87&lt;400),p_z,p_z*(V_z/B87)^n_2),p_r)))</f>
        <v>1.86078264120335</v>
      </c>
      <c r="D87" s="4" t="str">
        <f aca="false">IF(A87&lt;=180,"admisie",IF(A87&lt;360,"comprimare",IF(A87&lt;=540,"ardere-destindere","evacuare")))</f>
        <v>ardere-destindere</v>
      </c>
      <c r="E87" s="4"/>
      <c r="F87" s="4"/>
    </row>
    <row r="88" customFormat="false" ht="15" hidden="false" customHeight="false" outlineLevel="0" collapsed="false">
      <c r="A88" s="4" t="n">
        <v>415</v>
      </c>
      <c r="B88" s="18" t="n">
        <f aca="false">V_c+V_h*1000/2*((1-COS(RADIANS(A88)))+lam/4*(1-COS(RADIANS(2*A88))))</f>
        <v>134.810995296832</v>
      </c>
      <c r="C88" s="19" t="n">
        <f aca="false">IF(A88&lt;=180,p_a,IF(A88&lt;360,p_a*(V_a/B88)^n_1,IF(A88&lt;=540,IF(AND(B88&lt;=V_z,A88&lt;400),p_z,p_z*(V_z/B88)^n_2),p_r)))</f>
        <v>1.61662851930036</v>
      </c>
      <c r="D88" s="4" t="str">
        <f aca="false">IF(A88&lt;=180,"admisie",IF(A88&lt;360,"comprimare",IF(A88&lt;=540,"ardere-destindere","evacuare")))</f>
        <v>ardere-destindere</v>
      </c>
      <c r="E88" s="4"/>
      <c r="F88" s="4"/>
    </row>
    <row r="89" customFormat="false" ht="15" hidden="false" customHeight="false" outlineLevel="0" collapsed="false">
      <c r="A89" s="4" t="n">
        <v>420</v>
      </c>
      <c r="B89" s="18" t="n">
        <f aca="false">V_c+V_h*1000/2*((1-COS(RADIANS(A89)))+lam/4*(1-COS(RADIANS(2*A89))))</f>
        <v>149.91004229549</v>
      </c>
      <c r="C89" s="19" t="n">
        <f aca="false">IF(A89&lt;=180,p_a,IF(A89&lt;360,p_a*(V_a/B89)^n_1,IF(A89&lt;=540,IF(AND(B89&lt;=V_z,A89&lt;400),p_z,p_z*(V_z/B89)^n_2),p_r)))</f>
        <v>1.41714139202301</v>
      </c>
      <c r="D89" s="4" t="str">
        <f aca="false">IF(A89&lt;=180,"admisie",IF(A89&lt;360,"comprimare",IF(A89&lt;=540,"ardere-destindere","evacuare")))</f>
        <v>ardere-destindere</v>
      </c>
      <c r="E89" s="4"/>
      <c r="F89" s="4"/>
    </row>
    <row r="90" customFormat="false" ht="15" hidden="false" customHeight="false" outlineLevel="0" collapsed="false">
      <c r="A90" s="4" t="n">
        <v>425</v>
      </c>
      <c r="B90" s="18" t="n">
        <f aca="false">V_c+V_h*1000/2*((1-COS(RADIANS(A90)))+lam/4*(1-COS(RADIANS(2*A90))))</f>
        <v>165.498239502612</v>
      </c>
      <c r="C90" s="19" t="n">
        <f aca="false">IF(A90&lt;=180,p_a,IF(A90&lt;360,p_a*(V_a/B90)^n_1,IF(A90&lt;=540,IF(AND(B90&lt;=V_z,A90&lt;400),p_z,p_z*(V_z/B90)^n_2),p_r)))</f>
        <v>1.25347289810341</v>
      </c>
      <c r="D90" s="4" t="str">
        <f aca="false">IF(A90&lt;=180,"admisie",IF(A90&lt;360,"comprimare",IF(A90&lt;=540,"ardere-destindere","evacuare")))</f>
        <v>ardere-destindere</v>
      </c>
      <c r="E90" s="4"/>
      <c r="F90" s="4"/>
    </row>
    <row r="91" customFormat="false" ht="15" hidden="false" customHeight="false" outlineLevel="0" collapsed="false">
      <c r="A91" s="4" t="n">
        <v>430</v>
      </c>
      <c r="B91" s="18" t="n">
        <f aca="false">V_c+V_h*1000/2*((1-COS(RADIANS(A91)))+lam/4*(1-COS(RADIANS(2*A91))))</f>
        <v>181.416342054493</v>
      </c>
      <c r="C91" s="19" t="n">
        <f aca="false">IF(A91&lt;=180,p_a,IF(A91&lt;360,p_a*(V_a/B91)^n_1,IF(A91&lt;=540,IF(AND(B91&lt;=V_z,A91&lt;400),p_z,p_z*(V_z/B91)^n_2),p_r)))</f>
        <v>1.11850313790006</v>
      </c>
      <c r="D91" s="4" t="str">
        <f aca="false">IF(A91&lt;=180,"admisie",IF(A91&lt;360,"comprimare",IF(A91&lt;=540,"ardere-destindere","evacuare")))</f>
        <v>ardere-destindere</v>
      </c>
      <c r="E91" s="4"/>
      <c r="F91" s="4"/>
    </row>
    <row r="92" customFormat="false" ht="15" hidden="false" customHeight="false" outlineLevel="0" collapsed="false">
      <c r="A92" s="4" t="n">
        <v>435</v>
      </c>
      <c r="B92" s="18" t="n">
        <f aca="false">V_c+V_h*1000/2*((1-COS(RADIANS(A92)))+lam/4*(1-COS(RADIANS(2*A92))))</f>
        <v>197.508148926203</v>
      </c>
      <c r="C92" s="19" t="n">
        <f aca="false">IF(A92&lt;=180,p_a,IF(A92&lt;360,p_a*(V_a/B92)^n_1,IF(A92&lt;=540,IF(AND(B92&lt;=V_z,A92&lt;400),p_z,p_z*(V_z/B92)^n_2),p_r)))</f>
        <v>1.00658264690407</v>
      </c>
      <c r="D92" s="4" t="str">
        <f aca="false">IF(A92&lt;=180,"admisie",IF(A92&lt;360,"comprimare",IF(A92&lt;=540,"ardere-destindere","evacuare")))</f>
        <v>ardere-destindere</v>
      </c>
      <c r="E92" s="4"/>
      <c r="F92" s="4"/>
    </row>
    <row r="93" customFormat="false" ht="15" hidden="false" customHeight="false" outlineLevel="0" collapsed="false">
      <c r="A93" s="4" t="n">
        <v>440</v>
      </c>
      <c r="B93" s="18" t="n">
        <f aca="false">V_c+V_h*1000/2*((1-COS(RADIANS(A93)))+lam/4*(1-COS(RADIANS(2*A93))))</f>
        <v>213.622756833591</v>
      </c>
      <c r="C93" s="19" t="n">
        <f aca="false">IF(A93&lt;=180,p_a,IF(A93&lt;360,p_a*(V_a/B93)^n_1,IF(A93&lt;=540,IF(AND(B93&lt;=V_z,A93&lt;400),p_z,p_z*(V_z/B93)^n_2),p_r)))</f>
        <v>0.913255889277851</v>
      </c>
      <c r="D93" s="4" t="str">
        <f aca="false">IF(A93&lt;=180,"admisie",IF(A93&lt;360,"comprimare",IF(A93&lt;=540,"ardere-destindere","evacuare")))</f>
        <v>ardere-destindere</v>
      </c>
      <c r="E93" s="4"/>
      <c r="F93" s="4"/>
    </row>
    <row r="94" customFormat="false" ht="15" hidden="false" customHeight="false" outlineLevel="0" collapsed="false">
      <c r="A94" s="4" t="n">
        <v>445</v>
      </c>
      <c r="B94" s="18" t="n">
        <f aca="false">V_c+V_h*1000/2*((1-COS(RADIANS(A94)))+lam/4*(1-COS(RADIANS(2*A94))))</f>
        <v>229.61657267897</v>
      </c>
      <c r="C94" s="19" t="n">
        <f aca="false">IF(A94&lt;=180,p_a,IF(A94&lt;360,p_a*(V_a/B94)^n_1,IF(A94&lt;=540,IF(AND(B94&lt;=V_z,A94&lt;400),p_z,p_z*(V_z/B94)^n_2),p_r)))</f>
        <v>0.835013467248179</v>
      </c>
      <c r="D94" s="4" t="str">
        <f aca="false">IF(A94&lt;=180,"admisie",IF(A94&lt;360,"comprimare",IF(A94&lt;=540,"ardere-destindere","evacuare")))</f>
        <v>ardere-destindere</v>
      </c>
      <c r="E94" s="4"/>
      <c r="F94" s="4"/>
    </row>
    <row r="95" customFormat="false" ht="15" hidden="false" customHeight="false" outlineLevel="0" collapsed="false">
      <c r="A95" s="4" t="n">
        <v>450</v>
      </c>
      <c r="B95" s="18" t="n">
        <f aca="false">V_c+V_h*1000/2*((1-COS(RADIANS(A95)))+lam/4*(1-COS(RADIANS(2*A95))))</f>
        <v>245.355042972947</v>
      </c>
      <c r="C95" s="19" t="n">
        <f aca="false">IF(A95&lt;=180,p_a,IF(A95&lt;360,p_a*(V_a/B95)^n_1,IF(A95&lt;=540,IF(AND(B95&lt;=V_z,A95&lt;400),p_z,p_z*(V_z/B95)^n_2),p_r)))</f>
        <v>0.76908660793936</v>
      </c>
      <c r="D95" s="4" t="str">
        <f aca="false">IF(A95&lt;=180,"admisie",IF(A95&lt;360,"comprimare",IF(A95&lt;=540,"ardere-destindere","evacuare")))</f>
        <v>ardere-destindere</v>
      </c>
      <c r="E95" s="4"/>
      <c r="F95" s="4"/>
    </row>
    <row r="96" customFormat="false" ht="15" hidden="false" customHeight="false" outlineLevel="0" collapsed="false">
      <c r="A96" s="4" t="n">
        <v>455</v>
      </c>
      <c r="B96" s="18" t="n">
        <f aca="false">V_c+V_h*1000/2*((1-COS(RADIANS(A96)))+lam/4*(1-COS(RADIANS(2*A96))))</f>
        <v>260.714067727922</v>
      </c>
      <c r="C96" s="19" t="n">
        <f aca="false">IF(A96&lt;=180,p_a,IF(A96&lt;360,p_a*(V_a/B96)^n_1,IF(A96&lt;=540,IF(AND(B96&lt;=V_z,A96&lt;400),p_z,p_z*(V_z/B96)^n_2),p_r)))</f>
        <v>0.713283259655336</v>
      </c>
      <c r="D96" s="4" t="str">
        <f aca="false">IF(A96&lt;=180,"admisie",IF(A96&lt;360,"comprimare",IF(A96&lt;=540,"ardere-destindere","evacuare")))</f>
        <v>ardere-destindere</v>
      </c>
      <c r="E96" s="4"/>
      <c r="F96" s="4"/>
    </row>
    <row r="97" customFormat="false" ht="15" hidden="false" customHeight="false" outlineLevel="0" collapsed="false">
      <c r="A97" s="4" t="n">
        <v>460</v>
      </c>
      <c r="B97" s="18" t="n">
        <f aca="false">V_c+V_h*1000/2*((1-COS(RADIANS(A97)))+lam/4*(1-COS(RADIANS(2*A97))))</f>
        <v>275.58107621699</v>
      </c>
      <c r="C97" s="19" t="n">
        <f aca="false">IF(A97&lt;=180,p_a,IF(A97&lt;360,p_a*(V_a/B97)^n_1,IF(A97&lt;=540,IF(AND(B97&lt;=V_z,A97&lt;400),p_z,p_z*(V_z/B97)^n_2),p_r)))</f>
        <v>0.665860054598</v>
      </c>
      <c r="D97" s="4" t="str">
        <f aca="false">IF(A97&lt;=180,"admisie",IF(A97&lt;360,"comprimare",IF(A97&lt;=540,"ardere-destindere","evacuare")))</f>
        <v>ardere-destindere</v>
      </c>
      <c r="E97" s="4"/>
      <c r="F97" s="4"/>
    </row>
    <row r="98" customFormat="false" ht="15" hidden="false" customHeight="false" outlineLevel="0" collapsed="false">
      <c r="A98" s="4" t="n">
        <v>465</v>
      </c>
      <c r="B98" s="18" t="n">
        <f aca="false">V_c+V_h*1000/2*((1-COS(RADIANS(A98)))+lam/4*(1-COS(RADIANS(2*A98))))</f>
        <v>289.855752422087</v>
      </c>
      <c r="C98" s="19" t="n">
        <f aca="false">IF(A98&lt;=180,p_a,IF(A98&lt;360,p_a*(V_a/B98)^n_1,IF(A98&lt;=540,IF(AND(B98&lt;=V_z,A98&lt;400),p_z,p_z*(V_z/B98)^n_2),p_r)))</f>
        <v>0.62542334977165</v>
      </c>
      <c r="D98" s="4" t="str">
        <f aca="false">IF(A98&lt;=180,"admisie",IF(A98&lt;360,"comprimare",IF(A98&lt;=540,"ardere-destindere","evacuare")))</f>
        <v>ardere-destindere</v>
      </c>
      <c r="E98" s="4"/>
      <c r="F98" s="4"/>
    </row>
    <row r="99" customFormat="false" ht="15" hidden="false" customHeight="false" outlineLevel="0" collapsed="false">
      <c r="A99" s="4" t="n">
        <v>470</v>
      </c>
      <c r="B99" s="18" t="n">
        <f aca="false">V_c+V_h*1000/2*((1-COS(RADIANS(A99)))+lam/4*(1-COS(RADIANS(2*A99))))</f>
        <v>303.45040863925</v>
      </c>
      <c r="C99" s="19" t="n">
        <f aca="false">IF(A99&lt;=180,p_a,IF(A99&lt;360,p_a*(V_a/B99)^n_1,IF(A99&lt;=540,IF(AND(B99&lt;=V_z,A99&lt;400),p_z,p_z*(V_z/B99)^n_2),p_r)))</f>
        <v>0.590853105384604</v>
      </c>
      <c r="D99" s="4" t="str">
        <f aca="false">IF(A99&lt;=180,"admisie",IF(A99&lt;360,"comprimare",IF(A99&lt;=540,"ardere-destindere","evacuare")))</f>
        <v>ardere-destindere</v>
      </c>
      <c r="E99" s="4"/>
      <c r="F99" s="4"/>
    </row>
    <row r="100" customFormat="false" ht="15" hidden="false" customHeight="false" outlineLevel="0" collapsed="false">
      <c r="A100" s="4" t="n">
        <v>475</v>
      </c>
      <c r="B100" s="18" t="n">
        <f aca="false">V_c+V_h*1000/2*((1-COS(RADIANS(A100)))+lam/4*(1-COS(RADIANS(2*A100))))</f>
        <v>316.290016243348</v>
      </c>
      <c r="C100" s="19" t="n">
        <f aca="false">IF(A100&lt;=180,p_a,IF(A100&lt;360,p_a*(V_a/B100)^n_1,IF(A100&lt;=540,IF(AND(B100&lt;=V_z,A100&lt;400),p_z,p_z*(V_z/B100)^n_2),p_r)))</f>
        <v>0.561244400143962</v>
      </c>
      <c r="D100" s="4" t="str">
        <f aca="false">IF(A100&lt;=180,"admisie",IF(A100&lt;360,"comprimare",IF(A100&lt;=540,"ardere-destindere","evacuare")))</f>
        <v>ardere-destindere</v>
      </c>
      <c r="E100" s="4"/>
      <c r="F100" s="4"/>
    </row>
    <row r="101" customFormat="false" ht="15" hidden="false" customHeight="false" outlineLevel="0" collapsed="false">
      <c r="A101" s="4" t="n">
        <v>480</v>
      </c>
      <c r="B101" s="18" t="n">
        <f aca="false">V_c+V_h*1000/2*((1-COS(RADIANS(A101)))+lam/4*(1-COS(RADIANS(2*A101))))</f>
        <v>328.311912720643</v>
      </c>
      <c r="C101" s="19" t="n">
        <f aca="false">IF(A101&lt;=180,p_a,IF(A101&lt;360,p_a*(V_a/B101)^n_1,IF(A101&lt;=540,IF(AND(B101&lt;=V_z,A101&lt;400),p_z,p_z*(V_z/B101)^n_2),p_r)))</f>
        <v>0.535862454032956</v>
      </c>
      <c r="D101" s="4" t="str">
        <f aca="false">IF(A101&lt;=180,"admisie",IF(A101&lt;360,"comprimare",IF(A101&lt;=540,"ardere-destindere","evacuare")))</f>
        <v>ardere-destindere</v>
      </c>
      <c r="E101" s="4"/>
      <c r="F101" s="4"/>
    </row>
    <row r="102" customFormat="false" ht="15" hidden="false" customHeight="false" outlineLevel="0" collapsed="false">
      <c r="A102" s="4" t="n">
        <v>485</v>
      </c>
      <c r="B102" s="18" t="n">
        <f aca="false">V_c+V_h*1000/2*((1-COS(RADIANS(A102)))+lam/4*(1-COS(RADIANS(2*A102))))</f>
        <v>339.465213450474</v>
      </c>
      <c r="C102" s="19" t="n">
        <f aca="false">IF(A102&lt;=180,p_a,IF(A102&lt;360,p_a*(V_a/B102)^n_1,IF(A102&lt;=540,IF(AND(B102&lt;=V_z,A102&lt;400),p_z,p_z*(V_z/B102)^n_2),p_r)))</f>
        <v>0.514107963503169</v>
      </c>
      <c r="D102" s="4" t="str">
        <f aca="false">IF(A102&lt;=180,"admisie",IF(A102&lt;360,"comprimare",IF(A102&lt;=540,"ardere-destindere","evacuare")))</f>
        <v>ardere-destindere</v>
      </c>
      <c r="E102" s="4"/>
      <c r="F102" s="4"/>
    </row>
    <row r="103" customFormat="false" ht="15" hidden="false" customHeight="false" outlineLevel="0" collapsed="false">
      <c r="A103" s="4" t="n">
        <v>490</v>
      </c>
      <c r="B103" s="18" t="n">
        <f aca="false">V_c+V_h*1000/2*((1-COS(RADIANS(A103)))+lam/4*(1-COS(RADIANS(2*A103))))</f>
        <v>349.709965075798</v>
      </c>
      <c r="C103" s="19" t="n">
        <f aca="false">IF(A103&lt;=180,p_a,IF(A103&lt;360,p_a*(V_a/B103)^n_1,IF(A103&lt;=540,IF(AND(B103&lt;=V_z,A103&lt;400),p_z,p_z*(V_z/B103)^n_2),p_r)))</f>
        <v>0.495490311374599</v>
      </c>
      <c r="D103" s="4" t="str">
        <f aca="false">IF(A103&lt;=180,"admisie",IF(A103&lt;360,"comprimare",IF(A103&lt;=540,"ardere-destindere","evacuare")))</f>
        <v>ardere-destindere</v>
      </c>
      <c r="E103" s="4"/>
      <c r="F103" s="4"/>
    </row>
    <row r="104" customFormat="false" ht="15" hidden="false" customHeight="false" outlineLevel="0" collapsed="false">
      <c r="A104" s="4" t="n">
        <v>495</v>
      </c>
      <c r="B104" s="18" t="n">
        <f aca="false">V_c+V_h*1000/2*((1-COS(RADIANS(A104)))+lam/4*(1-COS(RADIANS(2*A104))))</f>
        <v>359.016084397176</v>
      </c>
      <c r="C104" s="19" t="n">
        <f aca="false">IF(A104&lt;=180,p_a,IF(A104&lt;360,p_a*(V_a/B104)^n_1,IF(A104&lt;=540,IF(AND(B104&lt;=V_z,A104&lt;400),p_z,p_z*(V_z/B104)^n_2),p_r)))</f>
        <v>0.479606804797655</v>
      </c>
      <c r="D104" s="4" t="str">
        <f aca="false">IF(A104&lt;=180,"admisie",IF(A104&lt;360,"comprimare",IF(A104&lt;=540,"ardere-destindere","evacuare")))</f>
        <v>ardere-destindere</v>
      </c>
      <c r="E104" s="4"/>
      <c r="F104" s="4"/>
    </row>
    <row r="105" customFormat="false" ht="15" hidden="false" customHeight="false" outlineLevel="0" collapsed="false">
      <c r="A105" s="4" t="n">
        <v>500</v>
      </c>
      <c r="B105" s="18" t="n">
        <f aca="false">V_c+V_h*1000/2*((1-COS(RADIANS(A105)))+lam/4*(1-COS(RADIANS(2*A105))))</f>
        <v>367.362132345988</v>
      </c>
      <c r="C105" s="19" t="n">
        <f aca="false">IF(A105&lt;=180,p_a,IF(A105&lt;360,p_a*(V_a/B105)^n_1,IF(A105&lt;=540,IF(AND(B105&lt;=V_z,A105&lt;400),p_z,p_z*(V_z/B105)^n_2),p_r)))</f>
        <v>0.466126546465398</v>
      </c>
      <c r="D105" s="4" t="str">
        <f aca="false">IF(A105&lt;=180,"admisie",IF(A105&lt;360,"comprimare",IF(A105&lt;=540,"ardere-destindere","evacuare")))</f>
        <v>ardere-destindere</v>
      </c>
      <c r="E105" s="4"/>
      <c r="F105" s="4"/>
    </row>
    <row r="106" customFormat="false" ht="15" hidden="false" customHeight="false" outlineLevel="0" collapsed="false">
      <c r="A106" s="4" t="n">
        <v>505</v>
      </c>
      <c r="B106" s="18" t="n">
        <f aca="false">V_c+V_h*1000/2*((1-COS(RADIANS(A106)))+lam/4*(1-COS(RADIANS(2*A106))))</f>
        <v>374.733976576464</v>
      </c>
      <c r="C106" s="19" t="n">
        <f aca="false">IF(A106&lt;=180,p_a,IF(A106&lt;360,p_a*(V_a/B106)^n_1,IF(A106&lt;=540,IF(AND(B106&lt;=V_z,A106&lt;400),p_z,p_z*(V_z/B106)^n_2),p_r)))</f>
        <v>0.454777885897528</v>
      </c>
      <c r="D106" s="4" t="str">
        <f aca="false">IF(A106&lt;=180,"admisie",IF(A106&lt;360,"comprimare",IF(A106&lt;=540,"ardere-destindere","evacuare")))</f>
        <v>ardere-destindere</v>
      </c>
      <c r="E106" s="4"/>
      <c r="F106" s="4"/>
    </row>
    <row r="107" customFormat="false" ht="15" hidden="false" customHeight="false" outlineLevel="0" collapsed="false">
      <c r="A107" s="4" t="n">
        <v>510</v>
      </c>
      <c r="B107" s="18" t="n">
        <f aca="false">V_c+V_h*1000/2*((1-COS(RADIANS(A107)))+lam/4*(1-COS(RADIANS(2*A107))))</f>
        <v>381.123398449149</v>
      </c>
      <c r="C107" s="19" t="n">
        <f aca="false">IF(A107&lt;=180,p_a,IF(A107&lt;360,p_a*(V_a/B107)^n_1,IF(A107&lt;=540,IF(AND(B107&lt;=V_z,A107&lt;400),p_z,p_z*(V_z/B107)^n_2),p_r)))</f>
        <v>0.44533865469043</v>
      </c>
      <c r="D107" s="4" t="str">
        <f aca="false">IF(A107&lt;=180,"admisie",IF(A107&lt;360,"comprimare",IF(A107&lt;=540,"ardere-destindere","evacuare")))</f>
        <v>ardere-destindere</v>
      </c>
      <c r="E107" s="4"/>
      <c r="F107" s="4"/>
    </row>
    <row r="108" customFormat="false" ht="15" hidden="false" customHeight="false" outlineLevel="0" collapsed="false">
      <c r="A108" s="4" t="n">
        <v>515</v>
      </c>
      <c r="B108" s="18" t="n">
        <f aca="false">V_c+V_h*1000/2*((1-COS(RADIANS(A108)))+lam/4*(1-COS(RADIANS(2*A108))))</f>
        <v>386.526700601613</v>
      </c>
      <c r="C108" s="19" t="n">
        <f aca="false">IF(A108&lt;=180,p_a,IF(A108&lt;360,p_a*(V_a/B108)^n_1,IF(A108&lt;=540,IF(AND(B108&lt;=V_z,A108&lt;400),p_z,p_z*(V_z/B108)^n_2),p_r)))</f>
        <v>0.437628583016043</v>
      </c>
      <c r="D108" s="4" t="str">
        <f aca="false">IF(A108&lt;=180,"admisie",IF(A108&lt;360,"comprimare",IF(A108&lt;=540,"ardere-destindere","evacuare")))</f>
        <v>ardere-destindere</v>
      </c>
      <c r="E108" s="4"/>
      <c r="F108" s="4"/>
    </row>
    <row r="109" customFormat="false" ht="15" hidden="false" customHeight="false" outlineLevel="0" collapsed="false">
      <c r="A109" s="4" t="n">
        <v>520</v>
      </c>
      <c r="B109" s="18" t="n">
        <f aca="false">V_c+V_h*1000/2*((1-COS(RADIANS(A109)))+lam/4*(1-COS(RADIANS(2*A109))))</f>
        <v>390.943369912422</v>
      </c>
      <c r="C109" s="19" t="n">
        <f aca="false">IF(A109&lt;=180,p_a,IF(A109&lt;360,p_a*(V_a/B109)^n_1,IF(A109&lt;=540,IF(AND(B109&lt;=V_z,A109&lt;400),p_z,p_z*(V_z/B109)^n_2),p_r)))</f>
        <v>0.43150344066725</v>
      </c>
      <c r="D109" s="4" t="str">
        <f aca="false">IF(A109&lt;=180,"admisie",IF(A109&lt;360,"comprimare",IF(A109&lt;=540,"ardere-destindere","evacuare")))</f>
        <v>ardere-destindere</v>
      </c>
      <c r="E109" s="4"/>
      <c r="F109" s="4"/>
    </row>
    <row r="110" customFormat="false" ht="15" hidden="false" customHeight="false" outlineLevel="0" collapsed="false">
      <c r="A110" s="4" t="n">
        <v>525</v>
      </c>
      <c r="B110" s="18" t="n">
        <f aca="false">V_c+V_h*1000/2*((1-COS(RADIANS(A110)))+lam/4*(1-COS(RADIANS(2*A110))))</f>
        <v>394.374847514159</v>
      </c>
      <c r="C110" s="19" t="n">
        <f aca="false">IF(A110&lt;=180,p_a,IF(A110&lt;360,p_a*(V_a/B110)^n_1,IF(A110&lt;=540,IF(AND(B110&lt;=V_z,A110&lt;400),p_z,p_z*(V_z/B110)^n_2),p_r)))</f>
        <v>0.426850557058037</v>
      </c>
      <c r="D110" s="4" t="str">
        <f aca="false">IF(A110&lt;=180,"admisie",IF(A110&lt;360,"comprimare",IF(A110&lt;=540,"ardere-destindere","evacuare")))</f>
        <v>ardere-destindere</v>
      </c>
      <c r="E110" s="4"/>
      <c r="F110" s="4"/>
    </row>
    <row r="111" customFormat="false" ht="15" hidden="false" customHeight="false" outlineLevel="0" collapsed="false">
      <c r="A111" s="4" t="n">
        <v>530</v>
      </c>
      <c r="B111" s="18" t="n">
        <f aca="false">V_c+V_h*1000/2*((1-COS(RADIANS(A111)))+lam/4*(1-COS(RADIANS(2*A111))))</f>
        <v>396.823452707653</v>
      </c>
      <c r="C111" s="19" t="n">
        <f aca="false">IF(A111&lt;=180,p_a,IF(A111&lt;360,p_a*(V_a/B111)^n_1,IF(A111&lt;=540,IF(AND(B111&lt;=V_z,A111&lt;400),p_z,p_z*(V_z/B111)^n_2),p_r)))</f>
        <v>0.423585460218799</v>
      </c>
      <c r="D111" s="4" t="str">
        <f aca="false">IF(A111&lt;=180,"admisie",IF(A111&lt;360,"comprimare",IF(A111&lt;=540,"ardere-destindere","evacuare")))</f>
        <v>ardere-destindere</v>
      </c>
      <c r="E111" s="4"/>
      <c r="F111" s="4"/>
    </row>
    <row r="112" customFormat="false" ht="15" hidden="false" customHeight="false" outlineLevel="0" collapsed="false">
      <c r="A112" s="4" t="n">
        <v>535</v>
      </c>
      <c r="B112" s="18" t="n">
        <f aca="false">V_c+V_h*1000/2*((1-COS(RADIANS(A112)))+lam/4*(1-COS(RADIANS(2*A112))))</f>
        <v>398.291501330115</v>
      </c>
      <c r="C112" s="19" t="n">
        <f aca="false">IF(A112&lt;=180,p_a,IF(A112&lt;360,p_a*(V_a/B112)^n_1,IF(A112&lt;=540,IF(AND(B112&lt;=V_z,A112&lt;400),p_z,p_z*(V_z/B112)^n_2),p_r)))</f>
        <v>0.421649442076891</v>
      </c>
      <c r="D112" s="4" t="str">
        <f aca="false">IF(A112&lt;=180,"admisie",IF(A112&lt;360,"comprimare",IF(A112&lt;=540,"ardere-destindere","evacuare")))</f>
        <v>ardere-destindere</v>
      </c>
      <c r="E112" s="4"/>
      <c r="F112" s="4"/>
    </row>
    <row r="113" customFormat="false" ht="15" hidden="false" customHeight="false" outlineLevel="0" collapsed="false">
      <c r="A113" s="4" t="n">
        <v>540</v>
      </c>
      <c r="B113" s="18" t="n">
        <f aca="false">V_c+V_h*1000/2*((1-COS(RADIANS(A113)))+lam/4*(1-COS(RADIANS(2*A113))))</f>
        <v>398.780651538579</v>
      </c>
      <c r="C113" s="19" t="n">
        <f aca="false">IF(A113&lt;=180,p_a,IF(A113&lt;360,p_a*(V_a/B113)^n_1,IF(A113&lt;=540,IF(AND(B113&lt;=V_z,A113&lt;400),p_z,p_z*(V_z/B113)^n_2),p_r)))</f>
        <v>0.421007911530166</v>
      </c>
      <c r="D113" s="4" t="str">
        <f aca="false">IF(A113&lt;=180,"admisie",IF(A113&lt;360,"comprimare",IF(A113&lt;=540,"ardere-destindere","evacuare")))</f>
        <v>ardere-destindere</v>
      </c>
      <c r="E113" s="4"/>
      <c r="F113" s="4"/>
    </row>
    <row r="114" customFormat="false" ht="15" hidden="false" customHeight="false" outlineLevel="0" collapsed="false">
      <c r="A114" s="4" t="n">
        <v>545</v>
      </c>
      <c r="B114" s="18" t="n">
        <f aca="false">V_c+V_h*1000/2*((1-COS(RADIANS(A114)))+lam/4*(1-COS(RADIANS(2*A114))))</f>
        <v>398.291501330115</v>
      </c>
      <c r="C114" s="19" t="n">
        <f aca="false">IF(A114&lt;=180,p_a,IF(A114&lt;360,p_a*(V_a/B114)^n_1,IF(A114&lt;=540,IF(AND(B114&lt;=V_z,A114&lt;400),p_z,p_z*(V_z/B114)^n_2),p_r)))</f>
        <v>0.11</v>
      </c>
      <c r="D114" s="4" t="str">
        <f aca="false">IF(A114&lt;=180,"admisie",IF(A114&lt;360,"comprimare",IF(A114&lt;=540,"ardere-destindere","evacuare")))</f>
        <v>evacuare</v>
      </c>
      <c r="E114" s="4"/>
      <c r="F114" s="4"/>
    </row>
    <row r="115" customFormat="false" ht="15" hidden="false" customHeight="false" outlineLevel="0" collapsed="false">
      <c r="A115" s="4" t="n">
        <v>550</v>
      </c>
      <c r="B115" s="18" t="n">
        <f aca="false">V_c+V_h*1000/2*((1-COS(RADIANS(A115)))+lam/4*(1-COS(RADIANS(2*A115))))</f>
        <v>396.823452707653</v>
      </c>
      <c r="C115" s="19" t="n">
        <f aca="false">IF(A115&lt;=180,p_a,IF(A115&lt;360,p_a*(V_a/B115)^n_1,IF(A115&lt;=540,IF(AND(B115&lt;=V_z,A115&lt;400),p_z,p_z*(V_z/B115)^n_2),p_r)))</f>
        <v>0.11</v>
      </c>
      <c r="D115" s="4" t="str">
        <f aca="false">IF(A115&lt;=180,"admisie",IF(A115&lt;360,"comprimare",IF(A115&lt;=540,"ardere-destindere","evacuare")))</f>
        <v>evacuare</v>
      </c>
      <c r="E115" s="4"/>
      <c r="F115" s="4"/>
    </row>
    <row r="116" customFormat="false" ht="15" hidden="false" customHeight="false" outlineLevel="0" collapsed="false">
      <c r="A116" s="4" t="n">
        <v>555</v>
      </c>
      <c r="B116" s="18" t="n">
        <f aca="false">V_c+V_h*1000/2*((1-COS(RADIANS(A116)))+lam/4*(1-COS(RADIANS(2*A116))))</f>
        <v>394.374847514159</v>
      </c>
      <c r="C116" s="19" t="n">
        <f aca="false">IF(A116&lt;=180,p_a,IF(A116&lt;360,p_a*(V_a/B116)^n_1,IF(A116&lt;=540,IF(AND(B116&lt;=V_z,A116&lt;400),p_z,p_z*(V_z/B116)^n_2),p_r)))</f>
        <v>0.11</v>
      </c>
      <c r="D116" s="4" t="str">
        <f aca="false">IF(A116&lt;=180,"admisie",IF(A116&lt;360,"comprimare",IF(A116&lt;=540,"ardere-destindere","evacuare")))</f>
        <v>evacuare</v>
      </c>
      <c r="E116" s="4"/>
      <c r="F116" s="4"/>
    </row>
    <row r="117" customFormat="false" ht="15" hidden="false" customHeight="false" outlineLevel="0" collapsed="false">
      <c r="A117" s="4" t="n">
        <v>560</v>
      </c>
      <c r="B117" s="18" t="n">
        <f aca="false">V_c+V_h*1000/2*((1-COS(RADIANS(A117)))+lam/4*(1-COS(RADIANS(2*A117))))</f>
        <v>390.943369912422</v>
      </c>
      <c r="C117" s="19" t="n">
        <f aca="false">IF(A117&lt;=180,p_a,IF(A117&lt;360,p_a*(V_a/B117)^n_1,IF(A117&lt;=540,IF(AND(B117&lt;=V_z,A117&lt;400),p_z,p_z*(V_z/B117)^n_2),p_r)))</f>
        <v>0.11</v>
      </c>
      <c r="D117" s="4" t="str">
        <f aca="false">IF(A117&lt;=180,"admisie",IF(A117&lt;360,"comprimare",IF(A117&lt;=540,"ardere-destindere","evacuare")))</f>
        <v>evacuare</v>
      </c>
      <c r="E117" s="4"/>
      <c r="F117" s="4"/>
    </row>
    <row r="118" customFormat="false" ht="15" hidden="false" customHeight="false" outlineLevel="0" collapsed="false">
      <c r="A118" s="4" t="n">
        <v>565</v>
      </c>
      <c r="B118" s="18" t="n">
        <f aca="false">V_c+V_h*1000/2*((1-COS(RADIANS(A118)))+lam/4*(1-COS(RADIANS(2*A118))))</f>
        <v>386.526700601613</v>
      </c>
      <c r="C118" s="19" t="n">
        <f aca="false">IF(A118&lt;=180,p_a,IF(A118&lt;360,p_a*(V_a/B118)^n_1,IF(A118&lt;=540,IF(AND(B118&lt;=V_z,A118&lt;400),p_z,p_z*(V_z/B118)^n_2),p_r)))</f>
        <v>0.11</v>
      </c>
      <c r="D118" s="4" t="str">
        <f aca="false">IF(A118&lt;=180,"admisie",IF(A118&lt;360,"comprimare",IF(A118&lt;=540,"ardere-destindere","evacuare")))</f>
        <v>evacuare</v>
      </c>
      <c r="E118" s="4"/>
      <c r="F118" s="4"/>
    </row>
    <row r="119" customFormat="false" ht="15" hidden="false" customHeight="false" outlineLevel="0" collapsed="false">
      <c r="A119" s="4" t="n">
        <v>570</v>
      </c>
      <c r="B119" s="18" t="n">
        <f aca="false">V_c+V_h*1000/2*((1-COS(RADIANS(A119)))+lam/4*(1-COS(RADIANS(2*A119))))</f>
        <v>381.123398449149</v>
      </c>
      <c r="C119" s="19" t="n">
        <f aca="false">IF(A119&lt;=180,p_a,IF(A119&lt;360,p_a*(V_a/B119)^n_1,IF(A119&lt;=540,IF(AND(B119&lt;=V_z,A119&lt;400),p_z,p_z*(V_z/B119)^n_2),p_r)))</f>
        <v>0.11</v>
      </c>
      <c r="D119" s="4" t="str">
        <f aca="false">IF(A119&lt;=180,"admisie",IF(A119&lt;360,"comprimare",IF(A119&lt;=540,"ardere-destindere","evacuare")))</f>
        <v>evacuare</v>
      </c>
      <c r="E119" s="4"/>
      <c r="F119" s="4"/>
    </row>
    <row r="120" customFormat="false" ht="15" hidden="false" customHeight="false" outlineLevel="0" collapsed="false">
      <c r="A120" s="4" t="n">
        <v>575</v>
      </c>
      <c r="B120" s="18" t="n">
        <f aca="false">V_c+V_h*1000/2*((1-COS(RADIANS(A120)))+lam/4*(1-COS(RADIANS(2*A120))))</f>
        <v>374.733976576464</v>
      </c>
      <c r="C120" s="19" t="n">
        <f aca="false">IF(A120&lt;=180,p_a,IF(A120&lt;360,p_a*(V_a/B120)^n_1,IF(A120&lt;=540,IF(AND(B120&lt;=V_z,A120&lt;400),p_z,p_z*(V_z/B120)^n_2),p_r)))</f>
        <v>0.11</v>
      </c>
      <c r="D120" s="4" t="str">
        <f aca="false">IF(A120&lt;=180,"admisie",IF(A120&lt;360,"comprimare",IF(A120&lt;=540,"ardere-destindere","evacuare")))</f>
        <v>evacuare</v>
      </c>
      <c r="E120" s="4"/>
      <c r="F120" s="4"/>
    </row>
    <row r="121" customFormat="false" ht="15" hidden="false" customHeight="false" outlineLevel="0" collapsed="false">
      <c r="A121" s="4" t="n">
        <v>580</v>
      </c>
      <c r="B121" s="18" t="n">
        <f aca="false">V_c+V_h*1000/2*((1-COS(RADIANS(A121)))+lam/4*(1-COS(RADIANS(2*A121))))</f>
        <v>367.362132345988</v>
      </c>
      <c r="C121" s="19" t="n">
        <f aca="false">IF(A121&lt;=180,p_a,IF(A121&lt;360,p_a*(V_a/B121)^n_1,IF(A121&lt;=540,IF(AND(B121&lt;=V_z,A121&lt;400),p_z,p_z*(V_z/B121)^n_2),p_r)))</f>
        <v>0.11</v>
      </c>
      <c r="D121" s="4" t="str">
        <f aca="false">IF(A121&lt;=180,"admisie",IF(A121&lt;360,"comprimare",IF(A121&lt;=540,"ardere-destindere","evacuare")))</f>
        <v>evacuare</v>
      </c>
      <c r="E121" s="4"/>
      <c r="F121" s="4"/>
    </row>
    <row r="122" customFormat="false" ht="15" hidden="false" customHeight="false" outlineLevel="0" collapsed="false">
      <c r="A122" s="4" t="n">
        <v>585</v>
      </c>
      <c r="B122" s="18" t="n">
        <f aca="false">V_c+V_h*1000/2*((1-COS(RADIANS(A122)))+lam/4*(1-COS(RADIANS(2*A122))))</f>
        <v>359.016084397176</v>
      </c>
      <c r="C122" s="19" t="n">
        <f aca="false">IF(A122&lt;=180,p_a,IF(A122&lt;360,p_a*(V_a/B122)^n_1,IF(A122&lt;=540,IF(AND(B122&lt;=V_z,A122&lt;400),p_z,p_z*(V_z/B122)^n_2),p_r)))</f>
        <v>0.11</v>
      </c>
      <c r="D122" s="4" t="str">
        <f aca="false">IF(A122&lt;=180,"admisie",IF(A122&lt;360,"comprimare",IF(A122&lt;=540,"ardere-destindere","evacuare")))</f>
        <v>evacuare</v>
      </c>
      <c r="E122" s="4"/>
      <c r="F122" s="4"/>
    </row>
    <row r="123" customFormat="false" ht="15" hidden="false" customHeight="false" outlineLevel="0" collapsed="false">
      <c r="A123" s="4" t="n">
        <v>590</v>
      </c>
      <c r="B123" s="18" t="n">
        <f aca="false">V_c+V_h*1000/2*((1-COS(RADIANS(A123)))+lam/4*(1-COS(RADIANS(2*A123))))</f>
        <v>349.709965075798</v>
      </c>
      <c r="C123" s="19" t="n">
        <f aca="false">IF(A123&lt;=180,p_a,IF(A123&lt;360,p_a*(V_a/B123)^n_1,IF(A123&lt;=540,IF(AND(B123&lt;=V_z,A123&lt;400),p_z,p_z*(V_z/B123)^n_2),p_r)))</f>
        <v>0.11</v>
      </c>
      <c r="D123" s="4" t="str">
        <f aca="false">IF(A123&lt;=180,"admisie",IF(A123&lt;360,"comprimare",IF(A123&lt;=540,"ardere-destindere","evacuare")))</f>
        <v>evacuare</v>
      </c>
      <c r="E123" s="4"/>
      <c r="F123" s="4"/>
    </row>
    <row r="124" customFormat="false" ht="15" hidden="false" customHeight="false" outlineLevel="0" collapsed="false">
      <c r="A124" s="4" t="n">
        <v>595</v>
      </c>
      <c r="B124" s="18" t="n">
        <f aca="false">V_c+V_h*1000/2*((1-COS(RADIANS(A124)))+lam/4*(1-COS(RADIANS(2*A124))))</f>
        <v>339.465213450474</v>
      </c>
      <c r="C124" s="19" t="n">
        <f aca="false">IF(A124&lt;=180,p_a,IF(A124&lt;360,p_a*(V_a/B124)^n_1,IF(A124&lt;=540,IF(AND(B124&lt;=V_z,A124&lt;400),p_z,p_z*(V_z/B124)^n_2),p_r)))</f>
        <v>0.11</v>
      </c>
      <c r="D124" s="4" t="str">
        <f aca="false">IF(A124&lt;=180,"admisie",IF(A124&lt;360,"comprimare",IF(A124&lt;=540,"ardere-destindere","evacuare")))</f>
        <v>evacuare</v>
      </c>
      <c r="E124" s="4"/>
      <c r="F124" s="4"/>
    </row>
    <row r="125" customFormat="false" ht="15" hidden="false" customHeight="false" outlineLevel="0" collapsed="false">
      <c r="A125" s="4" t="n">
        <v>600</v>
      </c>
      <c r="B125" s="18" t="n">
        <f aca="false">V_c+V_h*1000/2*((1-COS(RADIANS(A125)))+lam/4*(1-COS(RADIANS(2*A125))))</f>
        <v>328.311912720644</v>
      </c>
      <c r="C125" s="19" t="n">
        <f aca="false">IF(A125&lt;=180,p_a,IF(A125&lt;360,p_a*(V_a/B125)^n_1,IF(A125&lt;=540,IF(AND(B125&lt;=V_z,A125&lt;400),p_z,p_z*(V_z/B125)^n_2),p_r)))</f>
        <v>0.11</v>
      </c>
      <c r="D125" s="4" t="str">
        <f aca="false">IF(A125&lt;=180,"admisie",IF(A125&lt;360,"comprimare",IF(A125&lt;=540,"ardere-destindere","evacuare")))</f>
        <v>evacuare</v>
      </c>
      <c r="E125" s="4"/>
      <c r="F125" s="4"/>
    </row>
    <row r="126" customFormat="false" ht="15" hidden="false" customHeight="false" outlineLevel="0" collapsed="false">
      <c r="A126" s="4" t="n">
        <v>605</v>
      </c>
      <c r="B126" s="18" t="n">
        <f aca="false">V_c+V_h*1000/2*((1-COS(RADIANS(A126)))+lam/4*(1-COS(RADIANS(2*A126))))</f>
        <v>316.290016243348</v>
      </c>
      <c r="C126" s="19" t="n">
        <f aca="false">IF(A126&lt;=180,p_a,IF(A126&lt;360,p_a*(V_a/B126)^n_1,IF(A126&lt;=540,IF(AND(B126&lt;=V_z,A126&lt;400),p_z,p_z*(V_z/B126)^n_2),p_r)))</f>
        <v>0.11</v>
      </c>
      <c r="D126" s="4" t="str">
        <f aca="false">IF(A126&lt;=180,"admisie",IF(A126&lt;360,"comprimare",IF(A126&lt;=540,"ardere-destindere","evacuare")))</f>
        <v>evacuare</v>
      </c>
      <c r="E126" s="4"/>
      <c r="F126" s="4"/>
    </row>
    <row r="127" customFormat="false" ht="15" hidden="false" customHeight="false" outlineLevel="0" collapsed="false">
      <c r="A127" s="4" t="n">
        <v>610</v>
      </c>
      <c r="B127" s="18" t="n">
        <f aca="false">V_c+V_h*1000/2*((1-COS(RADIANS(A127)))+lam/4*(1-COS(RADIANS(2*A127))))</f>
        <v>303.45040863925</v>
      </c>
      <c r="C127" s="19" t="n">
        <f aca="false">IF(A127&lt;=180,p_a,IF(A127&lt;360,p_a*(V_a/B127)^n_1,IF(A127&lt;=540,IF(AND(B127&lt;=V_z,A127&lt;400),p_z,p_z*(V_z/B127)^n_2),p_r)))</f>
        <v>0.11</v>
      </c>
      <c r="D127" s="4" t="str">
        <f aca="false">IF(A127&lt;=180,"admisie",IF(A127&lt;360,"comprimare",IF(A127&lt;=540,"ardere-destindere","evacuare")))</f>
        <v>evacuare</v>
      </c>
      <c r="E127" s="4"/>
      <c r="F127" s="4"/>
    </row>
    <row r="128" customFormat="false" ht="15" hidden="false" customHeight="false" outlineLevel="0" collapsed="false">
      <c r="A128" s="4" t="n">
        <v>615</v>
      </c>
      <c r="B128" s="18" t="n">
        <f aca="false">V_c+V_h*1000/2*((1-COS(RADIANS(A128)))+lam/4*(1-COS(RADIANS(2*A128))))</f>
        <v>289.855752422087</v>
      </c>
      <c r="C128" s="19" t="n">
        <f aca="false">IF(A128&lt;=180,p_a,IF(A128&lt;360,p_a*(V_a/B128)^n_1,IF(A128&lt;=540,IF(AND(B128&lt;=V_z,A128&lt;400),p_z,p_z*(V_z/B128)^n_2),p_r)))</f>
        <v>0.11</v>
      </c>
      <c r="D128" s="4" t="str">
        <f aca="false">IF(A128&lt;=180,"admisie",IF(A128&lt;360,"comprimare",IF(A128&lt;=540,"ardere-destindere","evacuare")))</f>
        <v>evacuare</v>
      </c>
      <c r="E128" s="4"/>
      <c r="F128" s="4"/>
    </row>
    <row r="129" customFormat="false" ht="15" hidden="false" customHeight="false" outlineLevel="0" collapsed="false">
      <c r="A129" s="4" t="n">
        <v>620</v>
      </c>
      <c r="B129" s="18" t="n">
        <f aca="false">V_c+V_h*1000/2*((1-COS(RADIANS(A129)))+lam/4*(1-COS(RADIANS(2*A129))))</f>
        <v>275.581076216991</v>
      </c>
      <c r="C129" s="19" t="n">
        <f aca="false">IF(A129&lt;=180,p_a,IF(A129&lt;360,p_a*(V_a/B129)^n_1,IF(A129&lt;=540,IF(AND(B129&lt;=V_z,A129&lt;400),p_z,p_z*(V_z/B129)^n_2),p_r)))</f>
        <v>0.11</v>
      </c>
      <c r="D129" s="4" t="str">
        <f aca="false">IF(A129&lt;=180,"admisie",IF(A129&lt;360,"comprimare",IF(A129&lt;=540,"ardere-destindere","evacuare")))</f>
        <v>evacuare</v>
      </c>
      <c r="E129" s="4"/>
      <c r="F129" s="4"/>
    </row>
    <row r="130" customFormat="false" ht="15" hidden="false" customHeight="false" outlineLevel="0" collapsed="false">
      <c r="A130" s="4" t="n">
        <v>625</v>
      </c>
      <c r="B130" s="18" t="n">
        <f aca="false">V_c+V_h*1000/2*((1-COS(RADIANS(A130)))+lam/4*(1-COS(RADIANS(2*A130))))</f>
        <v>260.714067727922</v>
      </c>
      <c r="C130" s="19" t="n">
        <f aca="false">IF(A130&lt;=180,p_a,IF(A130&lt;360,p_a*(V_a/B130)^n_1,IF(A130&lt;=540,IF(AND(B130&lt;=V_z,A130&lt;400),p_z,p_z*(V_z/B130)^n_2),p_r)))</f>
        <v>0.11</v>
      </c>
      <c r="D130" s="4" t="str">
        <f aca="false">IF(A130&lt;=180,"admisie",IF(A130&lt;360,"comprimare",IF(A130&lt;=540,"ardere-destindere","evacuare")))</f>
        <v>evacuare</v>
      </c>
      <c r="E130" s="4"/>
      <c r="F130" s="4"/>
    </row>
    <row r="131" customFormat="false" ht="15" hidden="false" customHeight="false" outlineLevel="0" collapsed="false">
      <c r="A131" s="4" t="n">
        <v>630</v>
      </c>
      <c r="B131" s="18" t="n">
        <f aca="false">V_c+V_h*1000/2*((1-COS(RADIANS(A131)))+lam/4*(1-COS(RADIANS(2*A131))))</f>
        <v>245.355042972947</v>
      </c>
      <c r="C131" s="19" t="n">
        <f aca="false">IF(A131&lt;=180,p_a,IF(A131&lt;360,p_a*(V_a/B131)^n_1,IF(A131&lt;=540,IF(AND(B131&lt;=V_z,A131&lt;400),p_z,p_z*(V_z/B131)^n_2),p_r)))</f>
        <v>0.11</v>
      </c>
      <c r="D131" s="4" t="str">
        <f aca="false">IF(A131&lt;=180,"admisie",IF(A131&lt;360,"comprimare",IF(A131&lt;=540,"ardere-destindere","evacuare")))</f>
        <v>evacuare</v>
      </c>
      <c r="E131" s="4"/>
      <c r="F131" s="4"/>
    </row>
    <row r="132" customFormat="false" ht="15" hidden="false" customHeight="false" outlineLevel="0" collapsed="false">
      <c r="A132" s="4" t="n">
        <v>635</v>
      </c>
      <c r="B132" s="18" t="n">
        <f aca="false">V_c+V_h*1000/2*((1-COS(RADIANS(A132)))+lam/4*(1-COS(RADIANS(2*A132))))</f>
        <v>229.616572678971</v>
      </c>
      <c r="C132" s="19" t="n">
        <f aca="false">IF(A132&lt;=180,p_a,IF(A132&lt;360,p_a*(V_a/B132)^n_1,IF(A132&lt;=540,IF(AND(B132&lt;=V_z,A132&lt;400),p_z,p_z*(V_z/B132)^n_2),p_r)))</f>
        <v>0.11</v>
      </c>
      <c r="D132" s="4" t="str">
        <f aca="false">IF(A132&lt;=180,"admisie",IF(A132&lt;360,"comprimare",IF(A132&lt;=540,"ardere-destindere","evacuare")))</f>
        <v>evacuare</v>
      </c>
      <c r="E132" s="4"/>
      <c r="F132" s="4"/>
    </row>
    <row r="133" customFormat="false" ht="15" hidden="false" customHeight="false" outlineLevel="0" collapsed="false">
      <c r="A133" s="4" t="n">
        <v>640</v>
      </c>
      <c r="B133" s="18" t="n">
        <f aca="false">V_c+V_h*1000/2*((1-COS(RADIANS(A133)))+lam/4*(1-COS(RADIANS(2*A133))))</f>
        <v>213.622756833591</v>
      </c>
      <c r="C133" s="19" t="n">
        <f aca="false">IF(A133&lt;=180,p_a,IF(A133&lt;360,p_a*(V_a/B133)^n_1,IF(A133&lt;=540,IF(AND(B133&lt;=V_z,A133&lt;400),p_z,p_z*(V_z/B133)^n_2),p_r)))</f>
        <v>0.11</v>
      </c>
      <c r="D133" s="4" t="str">
        <f aca="false">IF(A133&lt;=180,"admisie",IF(A133&lt;360,"comprimare",IF(A133&lt;=540,"ardere-destindere","evacuare")))</f>
        <v>evacuare</v>
      </c>
      <c r="E133" s="4"/>
      <c r="F133" s="4"/>
    </row>
    <row r="134" customFormat="false" ht="15" hidden="false" customHeight="false" outlineLevel="0" collapsed="false">
      <c r="A134" s="4" t="n">
        <v>645</v>
      </c>
      <c r="B134" s="18" t="n">
        <f aca="false">V_c+V_h*1000/2*((1-COS(RADIANS(A134)))+lam/4*(1-COS(RADIANS(2*A134))))</f>
        <v>197.508148926203</v>
      </c>
      <c r="C134" s="19" t="n">
        <f aca="false">IF(A134&lt;=180,p_a,IF(A134&lt;360,p_a*(V_a/B134)^n_1,IF(A134&lt;=540,IF(AND(B134&lt;=V_z,A134&lt;400),p_z,p_z*(V_z/B134)^n_2),p_r)))</f>
        <v>0.11</v>
      </c>
      <c r="D134" s="4" t="str">
        <f aca="false">IF(A134&lt;=180,"admisie",IF(A134&lt;360,"comprimare",IF(A134&lt;=540,"ardere-destindere","evacuare")))</f>
        <v>evacuare</v>
      </c>
      <c r="E134" s="4"/>
      <c r="F134" s="4"/>
    </row>
    <row r="135" customFormat="false" ht="15" hidden="false" customHeight="false" outlineLevel="0" collapsed="false">
      <c r="A135" s="4" t="n">
        <v>650</v>
      </c>
      <c r="B135" s="18" t="n">
        <f aca="false">V_c+V_h*1000/2*((1-COS(RADIANS(A135)))+lam/4*(1-COS(RADIANS(2*A135))))</f>
        <v>181.416342054493</v>
      </c>
      <c r="C135" s="19" t="n">
        <f aca="false">IF(A135&lt;=180,p_a,IF(A135&lt;360,p_a*(V_a/B135)^n_1,IF(A135&lt;=540,IF(AND(B135&lt;=V_z,A135&lt;400),p_z,p_z*(V_z/B135)^n_2),p_r)))</f>
        <v>0.11</v>
      </c>
      <c r="D135" s="4" t="str">
        <f aca="false">IF(A135&lt;=180,"admisie",IF(A135&lt;360,"comprimare",IF(A135&lt;=540,"ardere-destindere","evacuare")))</f>
        <v>evacuare</v>
      </c>
      <c r="E135" s="4"/>
      <c r="F135" s="4"/>
    </row>
    <row r="136" customFormat="false" ht="15" hidden="false" customHeight="false" outlineLevel="0" collapsed="false">
      <c r="A136" s="4" t="n">
        <v>655</v>
      </c>
      <c r="B136" s="18" t="n">
        <f aca="false">V_c+V_h*1000/2*((1-COS(RADIANS(A136)))+lam/4*(1-COS(RADIANS(2*A136))))</f>
        <v>165.498239502612</v>
      </c>
      <c r="C136" s="19" t="n">
        <f aca="false">IF(A136&lt;=180,p_a,IF(A136&lt;360,p_a*(V_a/B136)^n_1,IF(A136&lt;=540,IF(AND(B136&lt;=V_z,A136&lt;400),p_z,p_z*(V_z/B136)^n_2),p_r)))</f>
        <v>0.11</v>
      </c>
      <c r="D136" s="4" t="str">
        <f aca="false">IF(A136&lt;=180,"admisie",IF(A136&lt;360,"comprimare",IF(A136&lt;=540,"ardere-destindere","evacuare")))</f>
        <v>evacuare</v>
      </c>
      <c r="E136" s="4"/>
      <c r="F136" s="4"/>
    </row>
    <row r="137" customFormat="false" ht="15" hidden="false" customHeight="false" outlineLevel="0" collapsed="false">
      <c r="A137" s="4" t="n">
        <v>660</v>
      </c>
      <c r="B137" s="18" t="n">
        <f aca="false">V_c+V_h*1000/2*((1-COS(RADIANS(A137)))+lam/4*(1-COS(RADIANS(2*A137))))</f>
        <v>149.91004229549</v>
      </c>
      <c r="C137" s="19" t="n">
        <f aca="false">IF(A137&lt;=180,p_a,IF(A137&lt;360,p_a*(V_a/B137)^n_1,IF(A137&lt;=540,IF(AND(B137&lt;=V_z,A137&lt;400),p_z,p_z*(V_z/B137)^n_2),p_r)))</f>
        <v>0.11</v>
      </c>
      <c r="D137" s="4" t="str">
        <f aca="false">IF(A137&lt;=180,"admisie",IF(A137&lt;360,"comprimare",IF(A137&lt;=540,"ardere-destindere","evacuare")))</f>
        <v>evacuare</v>
      </c>
      <c r="E137" s="4"/>
      <c r="F137" s="4"/>
    </row>
    <row r="138" customFormat="false" ht="15" hidden="false" customHeight="false" outlineLevel="0" collapsed="false">
      <c r="A138" s="4" t="n">
        <v>665</v>
      </c>
      <c r="B138" s="18" t="n">
        <f aca="false">V_c+V_h*1000/2*((1-COS(RADIANS(A138)))+lam/4*(1-COS(RADIANS(2*A138))))</f>
        <v>134.810995296832</v>
      </c>
      <c r="C138" s="19" t="n">
        <f aca="false">IF(A138&lt;=180,p_a,IF(A138&lt;360,p_a*(V_a/B138)^n_1,IF(A138&lt;=540,IF(AND(B138&lt;=V_z,A138&lt;400),p_z,p_z*(V_z/B138)^n_2),p_r)))</f>
        <v>0.11</v>
      </c>
      <c r="D138" s="4" t="str">
        <f aca="false">IF(A138&lt;=180,"admisie",IF(A138&lt;360,"comprimare",IF(A138&lt;=540,"ardere-destindere","evacuare")))</f>
        <v>evacuare</v>
      </c>
      <c r="E138" s="4"/>
      <c r="F138" s="4"/>
    </row>
    <row r="139" customFormat="false" ht="15" hidden="false" customHeight="false" outlineLevel="0" collapsed="false">
      <c r="A139" s="4" t="n">
        <v>670</v>
      </c>
      <c r="B139" s="18" t="n">
        <f aca="false">V_c+V_h*1000/2*((1-COS(RADIANS(A139)))+lam/4*(1-COS(RADIANS(2*A139))))</f>
        <v>120.360941367413</v>
      </c>
      <c r="C139" s="19" t="n">
        <f aca="false">IF(A139&lt;=180,p_a,IF(A139&lt;360,p_a*(V_a/B139)^n_1,IF(A139&lt;=540,IF(AND(B139&lt;=V_z,A139&lt;400),p_z,p_z*(V_z/B139)^n_2),p_r)))</f>
        <v>0.11</v>
      </c>
      <c r="D139" s="4" t="str">
        <f aca="false">IF(A139&lt;=180,"admisie",IF(A139&lt;360,"comprimare",IF(A139&lt;=540,"ardere-destindere","evacuare")))</f>
        <v>evacuare</v>
      </c>
      <c r="E139" s="4"/>
      <c r="F139" s="4"/>
    </row>
    <row r="140" customFormat="false" ht="15" hidden="false" customHeight="false" outlineLevel="0" collapsed="false">
      <c r="A140" s="4" t="n">
        <v>675</v>
      </c>
      <c r="B140" s="18" t="n">
        <f aca="false">V_c+V_h*1000/2*((1-COS(RADIANS(A140)))+lam/4*(1-COS(RADIANS(2*A140))))</f>
        <v>106.717739689196</v>
      </c>
      <c r="C140" s="19" t="n">
        <f aca="false">IF(A140&lt;=180,p_a,IF(A140&lt;360,p_a*(V_a/B140)^n_1,IF(A140&lt;=540,IF(AND(B140&lt;=V_z,A140&lt;400),p_z,p_z*(V_z/B140)^n_2),p_r)))</f>
        <v>0.11</v>
      </c>
      <c r="D140" s="4" t="str">
        <f aca="false">IF(A140&lt;=180,"admisie",IF(A140&lt;360,"comprimare",IF(A140&lt;=540,"ardere-destindere","evacuare")))</f>
        <v>evacuare</v>
      </c>
      <c r="E140" s="4"/>
      <c r="F140" s="4"/>
    </row>
    <row r="141" customFormat="false" ht="15" hidden="false" customHeight="false" outlineLevel="0" collapsed="false">
      <c r="A141" s="4" t="n">
        <v>680</v>
      </c>
      <c r="B141" s="18" t="n">
        <f aca="false">V_c+V_h*1000/2*((1-COS(RADIANS(A141)))+lam/4*(1-COS(RADIANS(2*A141))))</f>
        <v>94.0346093835463</v>
      </c>
      <c r="C141" s="19" t="n">
        <f aca="false">IF(A141&lt;=180,p_a,IF(A141&lt;360,p_a*(V_a/B141)^n_1,IF(A141&lt;=540,IF(AND(B141&lt;=V_z,A141&lt;400),p_z,p_z*(V_z/B141)^n_2),p_r)))</f>
        <v>0.11</v>
      </c>
      <c r="D141" s="4" t="str">
        <f aca="false">IF(A141&lt;=180,"admisie",IF(A141&lt;360,"comprimare",IF(A141&lt;=540,"ardere-destindere","evacuare")))</f>
        <v>evacuare</v>
      </c>
      <c r="E141" s="4"/>
      <c r="F141" s="4"/>
    </row>
    <row r="142" customFormat="false" ht="15" hidden="false" customHeight="false" outlineLevel="0" collapsed="false">
      <c r="A142" s="4" t="n">
        <v>685</v>
      </c>
      <c r="B142" s="18" t="n">
        <f aca="false">V_c+V_h*1000/2*((1-COS(RADIANS(A142)))+lam/4*(1-COS(RADIANS(2*A142))))</f>
        <v>82.4574628489752</v>
      </c>
      <c r="C142" s="19" t="n">
        <f aca="false">IF(A142&lt;=180,p_a,IF(A142&lt;360,p_a*(V_a/B142)^n_1,IF(A142&lt;=540,IF(AND(B142&lt;=V_z,A142&lt;400),p_z,p_z*(V_z/B142)^n_2),p_r)))</f>
        <v>0.11</v>
      </c>
      <c r="D142" s="4" t="str">
        <f aca="false">IF(A142&lt;=180,"admisie",IF(A142&lt;360,"comprimare",IF(A142&lt;=540,"ardere-destindere","evacuare")))</f>
        <v>evacuare</v>
      </c>
      <c r="E142" s="4"/>
      <c r="F142" s="4"/>
    </row>
    <row r="143" customFormat="false" ht="15" hidden="false" customHeight="false" outlineLevel="0" collapsed="false">
      <c r="A143" s="4" t="n">
        <v>690</v>
      </c>
      <c r="B143" s="18" t="n">
        <f aca="false">V_c+V_h*1000/2*((1-COS(RADIANS(A143)))+lam/4*(1-COS(RADIANS(2*A143))))</f>
        <v>72.1222947074628</v>
      </c>
      <c r="C143" s="19" t="n">
        <f aca="false">IF(A143&lt;=180,p_a,IF(A143&lt;360,p_a*(V_a/B143)^n_1,IF(A143&lt;=540,IF(AND(B143&lt;=V_z,A143&lt;400),p_z,p_z*(V_z/B143)^n_2),p_r)))</f>
        <v>0.11</v>
      </c>
      <c r="D143" s="4" t="str">
        <f aca="false">IF(A143&lt;=180,"admisie",IF(A143&lt;360,"comprimare",IF(A143&lt;=540,"ardere-destindere","evacuare")))</f>
        <v>evacuare</v>
      </c>
      <c r="E143" s="4"/>
      <c r="F143" s="4"/>
    </row>
    <row r="144" customFormat="false" ht="15" hidden="false" customHeight="false" outlineLevel="0" collapsed="false">
      <c r="A144" s="4" t="n">
        <v>695</v>
      </c>
      <c r="B144" s="18" t="n">
        <f aca="false">V_c+V_h*1000/2*((1-COS(RADIANS(A144)))+lam/4*(1-COS(RADIANS(2*A144))))</f>
        <v>63.1526918251723</v>
      </c>
      <c r="C144" s="19" t="n">
        <f aca="false">IF(A144&lt;=180,p_a,IF(A144&lt;360,p_a*(V_a/B144)^n_1,IF(A144&lt;=540,IF(AND(B144&lt;=V_z,A144&lt;400),p_z,p_z*(V_z/B144)^n_2),p_r)))</f>
        <v>0.11</v>
      </c>
      <c r="D144" s="4" t="str">
        <f aca="false">IF(A144&lt;=180,"admisie",IF(A144&lt;360,"comprimare",IF(A144&lt;=540,"ardere-destindere","evacuare")))</f>
        <v>evacuare</v>
      </c>
      <c r="E144" s="4"/>
      <c r="F144" s="4"/>
    </row>
    <row r="145" customFormat="false" ht="15" hidden="false" customHeight="false" outlineLevel="0" collapsed="false">
      <c r="A145" s="4" t="n">
        <v>700</v>
      </c>
      <c r="B145" s="18" t="n">
        <f aca="false">V_c+V_h*1000/2*((1-COS(RADIANS(A145)))+lam/4*(1-COS(RADIANS(2*A145))))</f>
        <v>55.6575275665798</v>
      </c>
      <c r="C145" s="19" t="n">
        <f aca="false">IF(A145&lt;=180,p_a,IF(A145&lt;360,p_a*(V_a/B145)^n_1,IF(A145&lt;=540,IF(AND(B145&lt;=V_z,A145&lt;400),p_z,p_z*(V_z/B145)^n_2),p_r)))</f>
        <v>0.11</v>
      </c>
      <c r="D145" s="4" t="str">
        <f aca="false">IF(A145&lt;=180,"admisie",IF(A145&lt;360,"comprimare",IF(A145&lt;=540,"ardere-destindere","evacuare")))</f>
        <v>evacuare</v>
      </c>
      <c r="E145" s="4"/>
      <c r="F145" s="4"/>
    </row>
    <row r="146" customFormat="false" ht="15" hidden="false" customHeight="false" outlineLevel="0" collapsed="false">
      <c r="A146" s="4" t="n">
        <v>705</v>
      </c>
      <c r="B146" s="18" t="n">
        <f aca="false">V_c+V_h*1000/2*((1-COS(RADIANS(A146)))+lam/4*(1-COS(RADIANS(2*A146))))</f>
        <v>49.7288993102951</v>
      </c>
      <c r="C146" s="19" t="n">
        <f aca="false">IF(A146&lt;=180,p_a,IF(A146&lt;360,p_a*(V_a/B146)^n_1,IF(A146&lt;=540,IF(AND(B146&lt;=V_z,A146&lt;400),p_z,p_z*(V_z/B146)^n_2),p_r)))</f>
        <v>0.11</v>
      </c>
      <c r="D146" s="4" t="str">
        <f aca="false">IF(A146&lt;=180,"admisie",IF(A146&lt;360,"comprimare",IF(A146&lt;=540,"ardere-destindere","evacuare")))</f>
        <v>evacuare</v>
      </c>
      <c r="E146" s="4"/>
      <c r="F146" s="4"/>
    </row>
    <row r="147" customFormat="false" ht="15" hidden="false" customHeight="false" outlineLevel="0" collapsed="false">
      <c r="A147" s="4" t="n">
        <v>710</v>
      </c>
      <c r="B147" s="18" t="n">
        <f aca="false">V_c+V_h*1000/2*((1-COS(RADIANS(A147)))+lam/4*(1-COS(RADIANS(2*A147))))</f>
        <v>45.4403624145108</v>
      </c>
      <c r="C147" s="19" t="n">
        <f aca="false">IF(A147&lt;=180,p_a,IF(A147&lt;360,p_a*(V_a/B147)^n_1,IF(A147&lt;=540,IF(AND(B147&lt;=V_z,A147&lt;400),p_z,p_z*(V_z/B147)^n_2),p_r)))</f>
        <v>0.11</v>
      </c>
      <c r="D147" s="4" t="str">
        <f aca="false">IF(A147&lt;=180,"admisie",IF(A147&lt;360,"comprimare",IF(A147&lt;=540,"ardere-destindere","evacuare")))</f>
        <v>evacuare</v>
      </c>
      <c r="E147" s="4"/>
      <c r="F147" s="4"/>
    </row>
    <row r="148" customFormat="false" ht="15" hidden="false" customHeight="false" outlineLevel="0" collapsed="false">
      <c r="A148" s="4" t="n">
        <v>715</v>
      </c>
      <c r="B148" s="18" t="n">
        <f aca="false">V_c+V_h*1000/2*((1-COS(RADIANS(A148)))+lam/4*(1-COS(RADIANS(2*A148))))</f>
        <v>42.8455064357373</v>
      </c>
      <c r="C148" s="19" t="n">
        <f aca="false">IF(A148&lt;=180,p_a,IF(A148&lt;360,p_a*(V_a/B148)^n_1,IF(A148&lt;=540,IF(AND(B148&lt;=V_z,A148&lt;400),p_z,p_z*(V_z/B148)^n_2),p_r)))</f>
        <v>0.11</v>
      </c>
      <c r="D148" s="4" t="str">
        <f aca="false">IF(A148&lt;=180,"admisie",IF(A148&lt;360,"comprimare",IF(A148&lt;=540,"ardere-destindere","evacuare")))</f>
        <v>evacuare</v>
      </c>
      <c r="E148" s="4"/>
      <c r="F148" s="4"/>
    </row>
    <row r="149" customFormat="false" ht="15" hidden="false" customHeight="false" outlineLevel="0" collapsed="false">
      <c r="A149" s="4" t="n">
        <v>720</v>
      </c>
      <c r="B149" s="18" t="n">
        <f aca="false">V_c+V_h*1000/2*((1-COS(RADIANS(A149)))+lam/4*(1-COS(RADIANS(2*A149))))</f>
        <v>41.9769106882715</v>
      </c>
      <c r="C149" s="19" t="n">
        <f aca="false">IF(A149&lt;=180,p_a,IF(A149&lt;360,p_a*(V_a/B149)^n_1,IF(A149&lt;=540,IF(AND(B149&lt;=V_z,A149&lt;400),p_z,p_z*(V_z/B149)^n_2),p_r)))</f>
        <v>0.11</v>
      </c>
      <c r="D149" s="4" t="str">
        <f aca="false">IF(A149&lt;=180,"admisie",IF(A149&lt;360,"comprimare",IF(A149&lt;=540,"ardere-destindere","evacuare")))</f>
        <v>evacuare</v>
      </c>
      <c r="E149" s="4"/>
      <c r="F14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6" min="3" style="0" width="13"/>
  </cols>
  <sheetData>
    <row r="1" customFormat="false" ht="16.15" hidden="false" customHeight="false" outlineLevel="0" collapsed="false">
      <c r="A1" s="3" t="s">
        <v>458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</row>
    <row r="3" customFormat="false" ht="15" hidden="false" customHeight="false" outlineLevel="0" collapsed="false">
      <c r="A3" s="4" t="s">
        <v>211</v>
      </c>
      <c r="B3" s="6" t="n">
        <f aca="false">IF(tip="MAS",1,0.87)</f>
        <v>1</v>
      </c>
      <c r="C3" s="4" t="s">
        <v>459</v>
      </c>
      <c r="D3" s="4"/>
      <c r="E3" s="4"/>
      <c r="F3" s="4"/>
    </row>
    <row r="4" customFormat="false" ht="15" hidden="false" customHeight="false" outlineLevel="0" collapsed="false">
      <c r="A4" s="4" t="s">
        <v>214</v>
      </c>
      <c r="B4" s="6" t="n">
        <f aca="false">IF(tip="MAS",1,1.13)</f>
        <v>1</v>
      </c>
      <c r="C4" s="4"/>
      <c r="D4" s="4"/>
      <c r="E4" s="4"/>
      <c r="F4" s="4"/>
    </row>
    <row r="5" customFormat="false" ht="15" hidden="false" customHeight="false" outlineLevel="0" collapsed="false">
      <c r="A5" s="4" t="s">
        <v>460</v>
      </c>
      <c r="B5" s="6" t="n">
        <f aca="false">1</f>
        <v>1</v>
      </c>
      <c r="C5" s="4"/>
      <c r="D5" s="4"/>
      <c r="E5" s="4"/>
      <c r="F5" s="4"/>
    </row>
    <row r="6" customFormat="false" ht="15" hidden="false" customHeight="false" outlineLevel="0" collapsed="false">
      <c r="A6" s="4" t="s">
        <v>461</v>
      </c>
      <c r="B6" s="6" t="n">
        <f aca="false">IF(tip="MAS",1.2,1.55)</f>
        <v>1.2</v>
      </c>
      <c r="C6" s="4"/>
      <c r="D6" s="4"/>
      <c r="E6" s="4"/>
      <c r="F6" s="4"/>
    </row>
    <row r="7" customFormat="false" ht="15" hidden="false" customHeight="false" outlineLevel="0" collapsed="false">
      <c r="A7" s="4" t="s">
        <v>462</v>
      </c>
      <c r="B7" s="7" t="n">
        <v>1000</v>
      </c>
      <c r="C7" s="4"/>
      <c r="D7" s="4"/>
      <c r="E7" s="4"/>
      <c r="F7" s="4"/>
    </row>
    <row r="8" customFormat="false" ht="15" hidden="false" customHeight="false" outlineLevel="0" collapsed="false">
      <c r="A8" s="4" t="s">
        <v>463</v>
      </c>
      <c r="B8" s="6" t="n">
        <f aca="false">ROUND(1.1*n_P,-2)</f>
        <v>6100</v>
      </c>
      <c r="C8" s="4"/>
      <c r="D8" s="4"/>
      <c r="E8" s="4"/>
      <c r="F8" s="4"/>
    </row>
    <row r="9" customFormat="false" ht="15" hidden="false" customHeight="false" outlineLevel="0" collapsed="false">
      <c r="A9" s="4" t="s">
        <v>464</v>
      </c>
      <c r="B9" s="12" t="n">
        <f aca="false">c_e</f>
        <v>255.285381665338</v>
      </c>
      <c r="C9" s="4"/>
      <c r="D9" s="4"/>
      <c r="E9" s="4"/>
      <c r="F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</row>
    <row r="11" customFormat="false" ht="15" hidden="false" customHeight="false" outlineLevel="0" collapsed="false">
      <c r="A11" s="5" t="s">
        <v>465</v>
      </c>
      <c r="B11" s="5" t="s">
        <v>466</v>
      </c>
      <c r="C11" s="5" t="s">
        <v>467</v>
      </c>
      <c r="D11" s="5" t="s">
        <v>468</v>
      </c>
      <c r="E11" s="5" t="s">
        <v>469</v>
      </c>
      <c r="F11" s="5" t="s">
        <v>470</v>
      </c>
    </row>
    <row r="12" customFormat="false" ht="15" hidden="false" customHeight="false" outlineLevel="0" collapsed="false">
      <c r="A12" s="20" t="n">
        <f aca="false">n_min+0*(n_max-n_min)/20</f>
        <v>1000</v>
      </c>
      <c r="B12" s="19" t="n">
        <f aca="false">A12/n_P</f>
        <v>0.181818181818182</v>
      </c>
      <c r="C12" s="18" t="n">
        <f aca="false">P_nom*(k_a*B12+k_b*B12^2-k_c*B12^3)</f>
        <v>11.4876033057851</v>
      </c>
      <c r="D12" s="21" t="n">
        <f aca="false">9549.3*C12/A12</f>
        <v>109.698570247934</v>
      </c>
      <c r="E12" s="21" t="n">
        <f aca="false">c_eP*(k_cons-k_cons*B12+B12^2)</f>
        <v>259.083015442178</v>
      </c>
      <c r="F12" s="18" t="n">
        <f aca="false">E12*C12/1000</f>
        <v>2.97624290466634</v>
      </c>
    </row>
    <row r="13" customFormat="false" ht="15" hidden="false" customHeight="false" outlineLevel="0" collapsed="false">
      <c r="A13" s="20" t="n">
        <f aca="false">n_min+1*(n_max-n_min)/20</f>
        <v>1255</v>
      </c>
      <c r="B13" s="19" t="n">
        <f aca="false">A13/n_P</f>
        <v>0.228181818181818</v>
      </c>
      <c r="C13" s="18" t="n">
        <f aca="false">P_nom*(k_a*B13+k_b*B13^2-k_c*B13^3)</f>
        <v>14.7602416942149</v>
      </c>
      <c r="D13" s="21" t="n">
        <f aca="false">9549.3*C13/A13</f>
        <v>112.310737857025</v>
      </c>
      <c r="E13" s="21" t="n">
        <f aca="false">c_eP*(k_cons-k_cons*B13+B13^2)</f>
        <v>249.732608144636</v>
      </c>
      <c r="F13" s="18" t="n">
        <f aca="false">E13*C13/1000</f>
        <v>3.68611365514147</v>
      </c>
    </row>
    <row r="14" customFormat="false" ht="15" hidden="false" customHeight="false" outlineLevel="0" collapsed="false">
      <c r="A14" s="20" t="n">
        <f aca="false">n_min+2*(n_max-n_min)/20</f>
        <v>1510</v>
      </c>
      <c r="B14" s="19" t="n">
        <f aca="false">A14/n_P</f>
        <v>0.274545454545455</v>
      </c>
      <c r="C14" s="18" t="n">
        <f aca="false">P_nom*(k_a*B14+k_b*B14^2-k_c*B14^3)</f>
        <v>18.1074707438017</v>
      </c>
      <c r="D14" s="21" t="n">
        <f aca="false">9549.3*C14/A14</f>
        <v>114.51236448595</v>
      </c>
      <c r="E14" s="21" t="n">
        <f aca="false">c_eP*(k_cons-k_cons*B14+B14^2)</f>
        <v>241.4797170086</v>
      </c>
      <c r="F14" s="18" t="n">
        <f aca="false">E14*C14/1000</f>
        <v>4.37258691095473</v>
      </c>
    </row>
    <row r="15" customFormat="false" ht="15" hidden="false" customHeight="false" outlineLevel="0" collapsed="false">
      <c r="A15" s="20" t="n">
        <f aca="false">n_min+3*(n_max-n_min)/20</f>
        <v>1765</v>
      </c>
      <c r="B15" s="19" t="n">
        <f aca="false">A15/n_P</f>
        <v>0.320909090909091</v>
      </c>
      <c r="C15" s="18" t="n">
        <f aca="false">P_nom*(k_a*B15+k_b*B15^2-k_c*B15^3)</f>
        <v>21.4964017768595</v>
      </c>
      <c r="D15" s="21" t="n">
        <f aca="false">9549.3*C15/A15</f>
        <v>116.303450134711</v>
      </c>
      <c r="E15" s="21" t="n">
        <f aca="false">c_eP*(k_cons-k_cons*B15+B15^2)</f>
        <v>234.324342034071</v>
      </c>
      <c r="F15" s="18" t="n">
        <f aca="false">E15*C15/1000</f>
        <v>5.03713020246264</v>
      </c>
    </row>
    <row r="16" customFormat="false" ht="15" hidden="false" customHeight="false" outlineLevel="0" collapsed="false">
      <c r="A16" s="20" t="n">
        <f aca="false">n_min+4*(n_max-n_min)/20</f>
        <v>2020</v>
      </c>
      <c r="B16" s="19" t="n">
        <f aca="false">A16/n_P</f>
        <v>0.367272727272727</v>
      </c>
      <c r="C16" s="18" t="n">
        <f aca="false">P_nom*(k_a*B16+k_b*B16^2-k_c*B16^3)</f>
        <v>24.8941461157025</v>
      </c>
      <c r="D16" s="21" t="n">
        <f aca="false">9549.3*C16/A16</f>
        <v>117.683994803306</v>
      </c>
      <c r="E16" s="21" t="n">
        <f aca="false">c_eP*(k_cons-k_cons*B16+B16^2)</f>
        <v>228.266483221049</v>
      </c>
      <c r="F16" s="18" t="n">
        <f aca="false">E16*C16/1000</f>
        <v>5.68249918662234</v>
      </c>
    </row>
    <row r="17" customFormat="false" ht="15" hidden="false" customHeight="false" outlineLevel="0" collapsed="false">
      <c r="A17" s="20" t="n">
        <f aca="false">n_min+5*(n_max-n_min)/20</f>
        <v>2275</v>
      </c>
      <c r="B17" s="19" t="n">
        <f aca="false">A17/n_P</f>
        <v>0.413636363636364</v>
      </c>
      <c r="C17" s="18" t="n">
        <f aca="false">P_nom*(k_a*B17+k_b*B17^2-k_c*B17^3)</f>
        <v>28.2678150826446</v>
      </c>
      <c r="D17" s="21" t="n">
        <f aca="false">9549.3*C17/A17</f>
        <v>118.653998491736</v>
      </c>
      <c r="E17" s="21" t="n">
        <f aca="false">c_eP*(k_cons-k_cons*B17+B17^2)</f>
        <v>223.306140569533</v>
      </c>
      <c r="F17" s="18" t="n">
        <f aca="false">E17*C17/1000</f>
        <v>6.31237668843862</v>
      </c>
    </row>
    <row r="18" customFormat="false" ht="15" hidden="false" customHeight="false" outlineLevel="0" collapsed="false">
      <c r="A18" s="20" t="n">
        <f aca="false">n_min+6*(n_max-n_min)/20</f>
        <v>2530</v>
      </c>
      <c r="B18" s="19" t="n">
        <f aca="false">A18/n_P</f>
        <v>0.46</v>
      </c>
      <c r="C18" s="18" t="n">
        <f aca="false">P_nom*(k_a*B18+k_b*B18^2-k_c*B18^3)</f>
        <v>31.58452</v>
      </c>
      <c r="D18" s="21" t="n">
        <f aca="false">9549.3*C18/A18</f>
        <v>119.2134612</v>
      </c>
      <c r="E18" s="21" t="n">
        <f aca="false">c_eP*(k_cons-k_cons*B18+B18^2)</f>
        <v>219.443314079525</v>
      </c>
      <c r="F18" s="18" t="n">
        <f aca="false">E18*C18/1000</f>
        <v>6.93101174241102</v>
      </c>
    </row>
    <row r="19" customFormat="false" ht="15" hidden="false" customHeight="false" outlineLevel="0" collapsed="false">
      <c r="A19" s="20" t="n">
        <f aca="false">n_min+7*(n_max-n_min)/20</f>
        <v>2785</v>
      </c>
      <c r="B19" s="19" t="n">
        <f aca="false">A19/n_P</f>
        <v>0.506363636363636</v>
      </c>
      <c r="C19" s="18" t="n">
        <f aca="false">P_nom*(k_a*B19+k_b*B19^2-k_c*B19^3)</f>
        <v>34.8113721900827</v>
      </c>
      <c r="D19" s="21" t="n">
        <f aca="false">9549.3*C19/A19</f>
        <v>119.362382928099</v>
      </c>
      <c r="E19" s="21" t="n">
        <f aca="false">c_eP*(k_cons-k_cons*B19+B19^2)</f>
        <v>216.678003751022</v>
      </c>
      <c r="F19" s="18" t="n">
        <f aca="false">E19*C19/1000</f>
        <v>7.54285863398097</v>
      </c>
    </row>
    <row r="20" customFormat="false" ht="15" hidden="false" customHeight="false" outlineLevel="0" collapsed="false">
      <c r="A20" s="20" t="n">
        <f aca="false">n_min+8*(n_max-n_min)/20</f>
        <v>3040</v>
      </c>
      <c r="B20" s="19" t="n">
        <f aca="false">A20/n_P</f>
        <v>0.552727272727273</v>
      </c>
      <c r="C20" s="18" t="n">
        <f aca="false">P_nom*(k_a*B20+k_b*B20^2-k_c*B20^3)</f>
        <v>37.9154829752066</v>
      </c>
      <c r="D20" s="21" t="n">
        <f aca="false">9549.3*C20/A20</f>
        <v>119.100763676033</v>
      </c>
      <c r="E20" s="21" t="n">
        <f aca="false">c_eP*(k_cons-k_cons*B20+B20^2)</f>
        <v>215.010209584027</v>
      </c>
      <c r="F20" s="18" t="n">
        <f aca="false">E20*C20/1000</f>
        <v>8.15221594097878</v>
      </c>
    </row>
    <row r="21" customFormat="false" ht="15" hidden="false" customHeight="false" outlineLevel="0" collapsed="false">
      <c r="A21" s="20" t="n">
        <f aca="false">n_min+9*(n_max-n_min)/20</f>
        <v>3295</v>
      </c>
      <c r="B21" s="19" t="n">
        <f aca="false">A21/n_P</f>
        <v>0.599090909090909</v>
      </c>
      <c r="C21" s="18" t="n">
        <f aca="false">P_nom*(k_a*B21+k_b*B21^2-k_c*B21^3)</f>
        <v>40.863963677686</v>
      </c>
      <c r="D21" s="21" t="n">
        <f aca="false">9549.3*C21/A21</f>
        <v>118.428603443802</v>
      </c>
      <c r="E21" s="21" t="n">
        <f aca="false">c_eP*(k_cons-k_cons*B21+B21^2)</f>
        <v>214.439931578538</v>
      </c>
      <c r="F21" s="18" t="n">
        <f aca="false">E21*C21/1000</f>
        <v>8.76286557507085</v>
      </c>
    </row>
    <row r="22" customFormat="false" ht="15" hidden="false" customHeight="false" outlineLevel="0" collapsed="false">
      <c r="A22" s="20" t="n">
        <f aca="false">n_min+10*(n_max-n_min)/20</f>
        <v>3550</v>
      </c>
      <c r="B22" s="19" t="n">
        <f aca="false">A22/n_P</f>
        <v>0.645454545454546</v>
      </c>
      <c r="C22" s="18" t="n">
        <f aca="false">P_nom*(k_a*B22+k_b*B22^2-k_c*B22^3)</f>
        <v>43.6239256198347</v>
      </c>
      <c r="D22" s="21" t="n">
        <f aca="false">9549.3*C22/A22</f>
        <v>117.345902231405</v>
      </c>
      <c r="E22" s="21" t="n">
        <f aca="false">c_eP*(k_cons-k_cons*B22+B22^2)</f>
        <v>214.967169734556</v>
      </c>
      <c r="F22" s="18" t="n">
        <f aca="false">E22*C22/1000</f>
        <v>9.37771182320666</v>
      </c>
    </row>
    <row r="23" customFormat="false" ht="15" hidden="false" customHeight="false" outlineLevel="0" collapsed="false">
      <c r="A23" s="20" t="n">
        <f aca="false">n_min+11*(n_max-n_min)/20</f>
        <v>3805</v>
      </c>
      <c r="B23" s="19" t="n">
        <f aca="false">A23/n_P</f>
        <v>0.691818181818182</v>
      </c>
      <c r="C23" s="18" t="n">
        <f aca="false">P_nom*(k_a*B23+k_b*B23^2-k_c*B23^3)</f>
        <v>46.1624801239669</v>
      </c>
      <c r="D23" s="21" t="n">
        <f aca="false">9549.3*C23/A23</f>
        <v>115.852660038843</v>
      </c>
      <c r="E23" s="21" t="n">
        <f aca="false">c_eP*(k_cons-k_cons*B23+B23^2)</f>
        <v>216.591924052081</v>
      </c>
      <c r="F23" s="18" t="n">
        <f aca="false">E23*C23/1000</f>
        <v>9.99842038906593</v>
      </c>
    </row>
    <row r="24" customFormat="false" ht="15" hidden="false" customHeight="false" outlineLevel="0" collapsed="false">
      <c r="A24" s="20" t="n">
        <f aca="false">n_min+12*(n_max-n_min)/20</f>
        <v>4060</v>
      </c>
      <c r="B24" s="19" t="n">
        <f aca="false">A24/n_P</f>
        <v>0.738181818181818</v>
      </c>
      <c r="C24" s="18" t="n">
        <f aca="false">P_nom*(k_a*B24+k_b*B24^2-k_c*B24^3)</f>
        <v>48.4467385123967</v>
      </c>
      <c r="D24" s="21" t="n">
        <f aca="false">9549.3*C24/A24</f>
        <v>113.948876866116</v>
      </c>
      <c r="E24" s="21" t="n">
        <f aca="false">c_eP*(k_cons-k_cons*B24+B24^2)</f>
        <v>219.314194531112</v>
      </c>
      <c r="F24" s="18" t="n">
        <f aca="false">E24*C24/1000</f>
        <v>10.6250574345057</v>
      </c>
    </row>
    <row r="25" customFormat="false" ht="15" hidden="false" customHeight="false" outlineLevel="0" collapsed="false">
      <c r="A25" s="20" t="n">
        <f aca="false">n_min+13*(n_max-n_min)/20</f>
        <v>4315</v>
      </c>
      <c r="B25" s="19" t="n">
        <f aca="false">A25/n_P</f>
        <v>0.784545454545455</v>
      </c>
      <c r="C25" s="18" t="n">
        <f aca="false">P_nom*(k_a*B25+k_b*B25^2-k_c*B25^3)</f>
        <v>50.443812107438</v>
      </c>
      <c r="D25" s="21" t="n">
        <f aca="false">9549.3*C25/A25</f>
        <v>111.634552713223</v>
      </c>
      <c r="E25" s="21" t="n">
        <f aca="false">c_eP*(k_cons-k_cons*B25+B25^2)</f>
        <v>223.13398117165</v>
      </c>
      <c r="F25" s="18" t="n">
        <f aca="false">E25*C25/1000</f>
        <v>11.2557286210073</v>
      </c>
    </row>
    <row r="26" customFormat="false" ht="15" hidden="false" customHeight="false" outlineLevel="0" collapsed="false">
      <c r="A26" s="20" t="n">
        <f aca="false">n_min+14*(n_max-n_min)/20</f>
        <v>4570</v>
      </c>
      <c r="B26" s="19" t="n">
        <f aca="false">A26/n_P</f>
        <v>0.830909090909091</v>
      </c>
      <c r="C26" s="18" t="n">
        <f aca="false">P_nom*(k_a*B26+k_b*B26^2-k_c*B26^3)</f>
        <v>52.120812231405</v>
      </c>
      <c r="D26" s="21" t="n">
        <f aca="false">9549.3*C26/A26</f>
        <v>108.909687580165</v>
      </c>
      <c r="E26" s="21" t="n">
        <f aca="false">c_eP*(k_cons-k_cons*B26+B26^2)</f>
        <v>228.051283973695</v>
      </c>
      <c r="F26" s="18" t="n">
        <f aca="false">E26*C26/1000</f>
        <v>11.8862181511238</v>
      </c>
    </row>
    <row r="27" customFormat="false" ht="15" hidden="false" customHeight="false" outlineLevel="0" collapsed="false">
      <c r="A27" s="20" t="n">
        <f aca="false">n_min+15*(n_max-n_min)/20</f>
        <v>4825</v>
      </c>
      <c r="B27" s="19" t="n">
        <f aca="false">A27/n_P</f>
        <v>0.877272727272727</v>
      </c>
      <c r="C27" s="18" t="n">
        <f aca="false">P_nom*(k_a*B27+k_b*B27^2-k_c*B27^3)</f>
        <v>53.4448502066116</v>
      </c>
      <c r="D27" s="21" t="n">
        <f aca="false">9549.3*C27/A27</f>
        <v>105.774281466942</v>
      </c>
      <c r="E27" s="21" t="n">
        <f aca="false">c_eP*(k_cons-k_cons*B27+B27^2)</f>
        <v>234.066102937246</v>
      </c>
      <c r="F27" s="18" t="n">
        <f aca="false">E27*C27/1000</f>
        <v>12.5096278099264</v>
      </c>
    </row>
    <row r="28" customFormat="false" ht="15" hidden="false" customHeight="false" outlineLevel="0" collapsed="false">
      <c r="A28" s="20" t="n">
        <f aca="false">n_min+16*(n_max-n_min)/20</f>
        <v>5080</v>
      </c>
      <c r="B28" s="19" t="n">
        <f aca="false">A28/n_P</f>
        <v>0.923636363636364</v>
      </c>
      <c r="C28" s="18" t="n">
        <f aca="false">P_nom*(k_a*B28+k_b*B28^2-k_c*B28^3)</f>
        <v>54.3830373553719</v>
      </c>
      <c r="D28" s="21" t="n">
        <f aca="false">9549.3*C28/A28</f>
        <v>102.228334373554</v>
      </c>
      <c r="E28" s="21" t="n">
        <f aca="false">c_eP*(k_cons-k_cons*B28+B28^2)</f>
        <v>241.178438062304</v>
      </c>
      <c r="F28" s="18" t="n">
        <f aca="false">E28*C28/1000</f>
        <v>13.1160160064525</v>
      </c>
    </row>
    <row r="29" customFormat="false" ht="15" hidden="false" customHeight="false" outlineLevel="0" collapsed="false">
      <c r="A29" s="20" t="n">
        <f aca="false">n_min+17*(n_max-n_min)/20</f>
        <v>5335</v>
      </c>
      <c r="B29" s="19" t="n">
        <f aca="false">A29/n_P</f>
        <v>0.97</v>
      </c>
      <c r="C29" s="18" t="n">
        <f aca="false">P_nom*(k_a*B29+k_b*B29^2-k_c*B29^3)</f>
        <v>54.902485</v>
      </c>
      <c r="D29" s="21" t="n">
        <f aca="false">9549.3*C29/A29</f>
        <v>98.2718463</v>
      </c>
      <c r="E29" s="21" t="n">
        <f aca="false">c_eP*(k_cons-k_cons*B29+B29^2)</f>
        <v>249.388289348869</v>
      </c>
      <c r="F29" s="18" t="n">
        <f aca="false">E29*C29/1000</f>
        <v>13.6920368151519</v>
      </c>
    </row>
    <row r="30" customFormat="false" ht="15" hidden="false" customHeight="false" outlineLevel="0" collapsed="false">
      <c r="A30" s="20" t="n">
        <f aca="false">n_min+18*(n_max-n_min)/20</f>
        <v>5590</v>
      </c>
      <c r="B30" s="19" t="n">
        <f aca="false">A30/n_P</f>
        <v>1.01636363636364</v>
      </c>
      <c r="C30" s="18" t="n">
        <f aca="false">P_nom*(k_a*B30+k_b*B30^2-k_c*B30^3)</f>
        <v>54.9703044628099</v>
      </c>
      <c r="D30" s="21" t="n">
        <f aca="false">9549.3*C30/A30</f>
        <v>93.904817246281</v>
      </c>
      <c r="E30" s="21" t="n">
        <f aca="false">c_eP*(k_cons-k_cons*B30+B30^2)</f>
        <v>258.69565679694</v>
      </c>
      <c r="F30" s="18" t="n">
        <f aca="false">E30*C30/1000</f>
        <v>14.2205790173344</v>
      </c>
    </row>
    <row r="31" customFormat="false" ht="15" hidden="false" customHeight="false" outlineLevel="0" collapsed="false">
      <c r="A31" s="20" t="n">
        <f aca="false">n_min+19*(n_max-n_min)/20</f>
        <v>5845</v>
      </c>
      <c r="B31" s="19" t="n">
        <f aca="false">A31/n_P</f>
        <v>1.06272727272727</v>
      </c>
      <c r="C31" s="18" t="n">
        <f aca="false">P_nom*(k_a*B31+k_b*B31^2-k_c*B31^3)</f>
        <v>54.5536070661157</v>
      </c>
      <c r="D31" s="21" t="n">
        <f aca="false">9549.3*C31/A31</f>
        <v>89.1272472123967</v>
      </c>
      <c r="E31" s="21" t="n">
        <f aca="false">c_eP*(k_cons-k_cons*B31+B31^2)</f>
        <v>269.100540406518</v>
      </c>
      <c r="F31" s="18" t="n">
        <f aca="false">E31*C31/1000</f>
        <v>14.6804051426166</v>
      </c>
    </row>
    <row r="32" customFormat="false" ht="15" hidden="false" customHeight="false" outlineLevel="0" collapsed="false">
      <c r="A32" s="20" t="n">
        <f aca="false">n_min+20*(n_max-n_min)/20</f>
        <v>6100</v>
      </c>
      <c r="B32" s="19" t="n">
        <f aca="false">A32/n_P</f>
        <v>1.10909090909091</v>
      </c>
      <c r="C32" s="18" t="n">
        <f aca="false">P_nom*(k_a*B32+k_b*B32^2-k_c*B32^3)</f>
        <v>53.6195041322314</v>
      </c>
      <c r="D32" s="21" t="n">
        <f aca="false">9549.3*C32/A32</f>
        <v>83.9391361983471</v>
      </c>
      <c r="E32" s="21" t="n">
        <f aca="false">c_eP*(k_cons-k_cons*B32+B32^2)</f>
        <v>280.602940177603</v>
      </c>
      <c r="F32" s="18" t="n">
        <f aca="false">E32*C32/1000</f>
        <v>15.0457905103693</v>
      </c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</row>
    <row r="34" customFormat="false" ht="15" hidden="false" customHeight="false" outlineLevel="0" collapsed="false">
      <c r="A34" s="4" t="s">
        <v>471</v>
      </c>
      <c r="B34" s="18" t="n">
        <f aca="false">MAX(D12:D32)</f>
        <v>119.362382928099</v>
      </c>
      <c r="C34" s="4"/>
      <c r="D34" s="4"/>
      <c r="E34" s="4"/>
      <c r="F34" s="4"/>
    </row>
    <row r="35" customFormat="false" ht="15" hidden="false" customHeight="false" outlineLevel="0" collapsed="false">
      <c r="A35" s="4" t="s">
        <v>472</v>
      </c>
      <c r="B35" s="18" t="n">
        <f aca="false">INDEX(A12:A32,MATCH(B34,D12:D32,0))</f>
        <v>2785</v>
      </c>
      <c r="C35" s="4"/>
      <c r="D35" s="4"/>
      <c r="E35" s="4"/>
      <c r="F35" s="4"/>
    </row>
    <row r="36" customFormat="false" ht="15" hidden="false" customHeight="false" outlineLevel="0" collapsed="false">
      <c r="A36" s="4" t="s">
        <v>473</v>
      </c>
      <c r="B36" s="18" t="n">
        <f aca="false">B34/M_P</f>
        <v>1.24995950413223</v>
      </c>
      <c r="C36" s="4"/>
      <c r="D36" s="4"/>
      <c r="E36" s="4"/>
      <c r="F36" s="4"/>
    </row>
    <row r="37" customFormat="false" ht="15" hidden="false" customHeight="false" outlineLevel="0" collapsed="false">
      <c r="A37" s="4" t="s">
        <v>474</v>
      </c>
      <c r="B37" s="18" t="n">
        <f aca="false">MIN(E12:E32)</f>
        <v>214.439931578538</v>
      </c>
      <c r="C37" s="4"/>
      <c r="D37" s="4"/>
      <c r="E37" s="4"/>
      <c r="F3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3"/>
  </cols>
  <sheetData>
    <row r="1" customFormat="false" ht="16.15" hidden="false" customHeight="false" outlineLevel="0" collapsed="false">
      <c r="A1" s="3" t="s">
        <v>475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</row>
    <row r="3" customFormat="false" ht="15" hidden="false" customHeight="false" outlineLevel="0" collapsed="false">
      <c r="A3" s="5" t="s">
        <v>15</v>
      </c>
      <c r="B3" s="5" t="s">
        <v>123</v>
      </c>
      <c r="C3" s="5" t="s">
        <v>476</v>
      </c>
      <c r="D3" s="5" t="s">
        <v>477</v>
      </c>
      <c r="E3" s="5" t="s">
        <v>478</v>
      </c>
      <c r="F3" s="5" t="s">
        <v>479</v>
      </c>
      <c r="G3" s="5" t="s">
        <v>480</v>
      </c>
    </row>
    <row r="4" customFormat="false" ht="15" hidden="false" customHeight="false" outlineLevel="0" collapsed="false">
      <c r="A4" s="6" t="s">
        <v>481</v>
      </c>
      <c r="B4" s="16" t="n">
        <f aca="false">dT_a</f>
        <v>1.81404422236518</v>
      </c>
      <c r="C4" s="6" t="n">
        <v>0</v>
      </c>
      <c r="D4" s="6" t="n">
        <v>2</v>
      </c>
      <c r="E4" s="6" t="n">
        <v>0</v>
      </c>
      <c r="F4" s="6" t="n">
        <v>2</v>
      </c>
      <c r="G4" s="6" t="str">
        <f aca="false">IF(IF(tip="MAS",AND(B4&gt;=C4,B4&lt;=D4),AND(B4&gt;=E4,B4&lt;=F4)),"în domeniu","verificați")</f>
        <v>în domeniu</v>
      </c>
    </row>
    <row r="5" customFormat="false" ht="15" hidden="false" customHeight="false" outlineLevel="0" collapsed="false">
      <c r="A5" s="6" t="s">
        <v>482</v>
      </c>
      <c r="B5" s="16" t="n">
        <f aca="false">dT_r</f>
        <v>0.707559023120504</v>
      </c>
      <c r="C5" s="6" t="n">
        <v>0</v>
      </c>
      <c r="D5" s="6" t="n">
        <v>5</v>
      </c>
      <c r="E5" s="6" t="n">
        <v>0</v>
      </c>
      <c r="F5" s="6" t="n">
        <v>5</v>
      </c>
      <c r="G5" s="6" t="str">
        <f aca="false">IF(IF(tip="MAS",AND(B5&gt;=C5,B5&lt;=D5),AND(B5&gt;=E5,B5&lt;=F5)),"în domeniu","verificați")</f>
        <v>în domeniu</v>
      </c>
    </row>
    <row r="6" customFormat="false" ht="15" hidden="false" customHeight="false" outlineLevel="0" collapsed="false">
      <c r="A6" s="6" t="s">
        <v>483</v>
      </c>
      <c r="B6" s="16" t="n">
        <f aca="false">dP_e</f>
        <v>0.681632294432536</v>
      </c>
      <c r="C6" s="6" t="n">
        <v>0</v>
      </c>
      <c r="D6" s="6" t="n">
        <v>5</v>
      </c>
      <c r="E6" s="6" t="n">
        <v>0</v>
      </c>
      <c r="F6" s="6" t="n">
        <v>5</v>
      </c>
      <c r="G6" s="6" t="str">
        <f aca="false">IF(IF(tip="MAS",AND(B6&gt;=C6,B6&lt;=D6),AND(B6&gt;=E6,B6&lt;=F6)),"în domeniu","verificați")</f>
        <v>în domeniu</v>
      </c>
    </row>
    <row r="7" customFormat="false" ht="15" hidden="false" customHeight="false" outlineLevel="0" collapsed="false">
      <c r="A7" s="6" t="s">
        <v>484</v>
      </c>
      <c r="B7" s="16" t="n">
        <f aca="false">eta_v</f>
        <v>0.769147659063626</v>
      </c>
      <c r="C7" s="6" t="n">
        <v>0.7</v>
      </c>
      <c r="D7" s="6" t="n">
        <v>0.9</v>
      </c>
      <c r="E7" s="6" t="n">
        <v>0.85</v>
      </c>
      <c r="F7" s="6" t="n">
        <v>1.05</v>
      </c>
      <c r="G7" s="6" t="str">
        <f aca="false">IF(IF(tip="MAS",AND(B7&gt;=C7,B7&lt;=D7),AND(B7&gt;=E7,B7&lt;=F7)),"în domeniu","verificați")</f>
        <v>în domeniu</v>
      </c>
    </row>
    <row r="8" customFormat="false" ht="15" hidden="false" customHeight="false" outlineLevel="0" collapsed="false">
      <c r="A8" s="6" t="s">
        <v>485</v>
      </c>
      <c r="B8" s="16" t="n">
        <f aca="false">n_1</f>
        <v>1.37093729668501</v>
      </c>
      <c r="C8" s="6" t="n">
        <v>1.32</v>
      </c>
      <c r="D8" s="6" t="n">
        <v>1.39</v>
      </c>
      <c r="E8" s="6" t="n">
        <v>1.32</v>
      </c>
      <c r="F8" s="6" t="n">
        <v>1.39</v>
      </c>
      <c r="G8" s="6" t="str">
        <f aca="false">IF(IF(tip="MAS",AND(B8&gt;=C8,B8&lt;=D8),AND(B8&gt;=E8,B8&lt;=F8)),"în domeniu","verificați")</f>
        <v>în domeniu</v>
      </c>
    </row>
    <row r="9" customFormat="false" ht="15" hidden="false" customHeight="false" outlineLevel="0" collapsed="false">
      <c r="A9" s="6" t="s">
        <v>486</v>
      </c>
      <c r="B9" s="16" t="n">
        <f aca="false">p_c</f>
        <v>1.88319896834231</v>
      </c>
      <c r="C9" s="6" t="n">
        <v>1.2</v>
      </c>
      <c r="D9" s="6" t="n">
        <v>2.5</v>
      </c>
      <c r="E9" s="6" t="n">
        <v>5</v>
      </c>
      <c r="F9" s="6" t="n">
        <v>10</v>
      </c>
      <c r="G9" s="6" t="str">
        <f aca="false">IF(IF(tip="MAS",AND(B9&gt;=C9,B9&lt;=D9),AND(B9&gt;=E9,B9&lt;=F9)),"în domeniu","verificați")</f>
        <v>în domeniu</v>
      </c>
    </row>
    <row r="10" customFormat="false" ht="15" hidden="false" customHeight="false" outlineLevel="0" collapsed="false">
      <c r="A10" s="6" t="s">
        <v>487</v>
      </c>
      <c r="B10" s="16" t="n">
        <f aca="false">T_c</f>
        <v>809.800346193711</v>
      </c>
      <c r="C10" s="6" t="n">
        <v>650</v>
      </c>
      <c r="D10" s="6" t="n">
        <v>850</v>
      </c>
      <c r="E10" s="6" t="n">
        <v>800</v>
      </c>
      <c r="F10" s="6" t="n">
        <v>1000</v>
      </c>
      <c r="G10" s="6" t="str">
        <f aca="false">IF(IF(tip="MAS",AND(B10&gt;=C10,B10&lt;=D10),AND(B10&gt;=E10,B10&lt;=F10)),"în domeniu","verificați")</f>
        <v>în domeniu</v>
      </c>
    </row>
    <row r="11" customFormat="false" ht="15" hidden="false" customHeight="false" outlineLevel="0" collapsed="false">
      <c r="A11" s="6" t="s">
        <v>488</v>
      </c>
      <c r="B11" s="16" t="n">
        <f aca="false">T_z</f>
        <v>2815.83297051384</v>
      </c>
      <c r="C11" s="6" t="n">
        <v>2400</v>
      </c>
      <c r="D11" s="6" t="n">
        <v>2900</v>
      </c>
      <c r="E11" s="6" t="n">
        <v>1900</v>
      </c>
      <c r="F11" s="6" t="n">
        <v>2300</v>
      </c>
      <c r="G11" s="6" t="str">
        <f aca="false">IF(IF(tip="MAS",AND(B11&gt;=C11,B11&lt;=D11),AND(B11&gt;=E11,B11&lt;=F11)),"în domeniu","verificați")</f>
        <v>în domeniu</v>
      </c>
    </row>
    <row r="12" customFormat="false" ht="15" hidden="false" customHeight="false" outlineLevel="0" collapsed="false">
      <c r="A12" s="6" t="s">
        <v>489</v>
      </c>
      <c r="B12" s="16" t="n">
        <f aca="false">p_z</f>
        <v>6.87426314307414</v>
      </c>
      <c r="C12" s="6" t="n">
        <v>5</v>
      </c>
      <c r="D12" s="6" t="n">
        <v>8</v>
      </c>
      <c r="E12" s="6" t="n">
        <v>10</v>
      </c>
      <c r="F12" s="6" t="n">
        <v>18</v>
      </c>
      <c r="G12" s="6" t="str">
        <f aca="false">IF(IF(tip="MAS",AND(B12&gt;=C12,B12&lt;=D12),AND(B12&gt;=E12,B12&lt;=F12)),"în domeniu","verificați")</f>
        <v>în domeniu</v>
      </c>
    </row>
    <row r="13" customFormat="false" ht="15" hidden="false" customHeight="false" outlineLevel="0" collapsed="false">
      <c r="A13" s="6" t="s">
        <v>315</v>
      </c>
      <c r="B13" s="16" t="n">
        <f aca="false">lam_p</f>
        <v>3.65031165513287</v>
      </c>
      <c r="C13" s="6" t="n">
        <v>3</v>
      </c>
      <c r="D13" s="6" t="n">
        <v>4.2</v>
      </c>
      <c r="E13" s="6" t="n">
        <v>1.4</v>
      </c>
      <c r="F13" s="6" t="n">
        <v>2</v>
      </c>
      <c r="G13" s="6" t="str">
        <f aca="false">IF(IF(tip="MAS",AND(B13&gt;=C13,B13&lt;=D13),AND(B13&gt;=E13,B13&lt;=F13)),"în domeniu","verificați")</f>
        <v>în domeniu</v>
      </c>
    </row>
    <row r="14" customFormat="false" ht="15" hidden="false" customHeight="false" outlineLevel="0" collapsed="false">
      <c r="A14" s="6" t="s">
        <v>490</v>
      </c>
      <c r="B14" s="16" t="n">
        <f aca="false">n_2</f>
        <v>1.24057135267459</v>
      </c>
      <c r="C14" s="6" t="n">
        <v>1.23</v>
      </c>
      <c r="D14" s="6" t="n">
        <v>1.3</v>
      </c>
      <c r="E14" s="6" t="n">
        <v>1.23</v>
      </c>
      <c r="F14" s="6" t="n">
        <v>1.3</v>
      </c>
      <c r="G14" s="6" t="str">
        <f aca="false">IF(IF(tip="MAS",AND(B14&gt;=C14,B14&lt;=D14),AND(B14&gt;=E14,B14&lt;=F14)),"în domeniu","verificați")</f>
        <v>în domeniu</v>
      </c>
    </row>
    <row r="15" customFormat="false" ht="15" hidden="false" customHeight="false" outlineLevel="0" collapsed="false">
      <c r="A15" s="6" t="s">
        <v>491</v>
      </c>
      <c r="B15" s="16" t="n">
        <f aca="false">p_b</f>
        <v>0.421007911530166</v>
      </c>
      <c r="C15" s="6" t="n">
        <v>0.35</v>
      </c>
      <c r="D15" s="6" t="n">
        <v>0.5</v>
      </c>
      <c r="E15" s="6" t="n">
        <v>0.35</v>
      </c>
      <c r="F15" s="6" t="n">
        <v>0.7</v>
      </c>
      <c r="G15" s="6" t="str">
        <f aca="false">IF(IF(tip="MAS",AND(B15&gt;=C15,B15&lt;=D15),AND(B15&gt;=E15,B15&lt;=F15)),"în domeniu","verificați")</f>
        <v>în domeniu</v>
      </c>
    </row>
    <row r="16" customFormat="false" ht="15" hidden="false" customHeight="false" outlineLevel="0" collapsed="false">
      <c r="A16" s="6" t="s">
        <v>492</v>
      </c>
      <c r="B16" s="16" t="n">
        <f aca="false">T_b</f>
        <v>1638.30440701385</v>
      </c>
      <c r="C16" s="6" t="n">
        <v>1200</v>
      </c>
      <c r="D16" s="6" t="n">
        <v>1700</v>
      </c>
      <c r="E16" s="6" t="n">
        <v>1000</v>
      </c>
      <c r="F16" s="6" t="n">
        <v>1200</v>
      </c>
      <c r="G16" s="6" t="str">
        <f aca="false">IF(IF(tip="MAS",AND(B16&gt;=C16,B16&lt;=D16),AND(B16&gt;=E16,B16&lt;=F16)),"în domeniu","verificați")</f>
        <v>în domeniu</v>
      </c>
    </row>
    <row r="17" customFormat="false" ht="15" hidden="false" customHeight="false" outlineLevel="0" collapsed="false">
      <c r="A17" s="6" t="s">
        <v>493</v>
      </c>
      <c r="B17" s="16" t="n">
        <f aca="false">p_e</f>
        <v>0.840798359582954</v>
      </c>
      <c r="C17" s="6" t="n">
        <v>0.8</v>
      </c>
      <c r="D17" s="6" t="n">
        <v>1.1</v>
      </c>
      <c r="E17" s="6" t="n">
        <v>1.2</v>
      </c>
      <c r="F17" s="6" t="n">
        <v>2</v>
      </c>
      <c r="G17" s="6" t="str">
        <f aca="false">IF(IF(tip="MAS",AND(B17&gt;=C17,B17&lt;=D17),AND(B17&gt;=E17,B17&lt;=F17)),"în domeniu","verificați")</f>
        <v>în domeniu</v>
      </c>
    </row>
    <row r="18" customFormat="false" ht="15" hidden="false" customHeight="false" outlineLevel="0" collapsed="false">
      <c r="A18" s="6" t="s">
        <v>394</v>
      </c>
      <c r="B18" s="16" t="n">
        <f aca="false">eta_e</f>
        <v>0.324180805613641</v>
      </c>
      <c r="C18" s="6" t="n">
        <v>0.26</v>
      </c>
      <c r="D18" s="6" t="n">
        <v>0.34</v>
      </c>
      <c r="E18" s="6" t="n">
        <v>0.32</v>
      </c>
      <c r="F18" s="6" t="n">
        <v>0.4</v>
      </c>
      <c r="G18" s="6" t="str">
        <f aca="false">IF(IF(tip="MAS",AND(B18&gt;=C18,B18&lt;=D18),AND(B18&gt;=E18,B18&lt;=F18)),"în domeniu","verificați")</f>
        <v>în domeniu</v>
      </c>
    </row>
    <row r="19" customFormat="false" ht="15" hidden="false" customHeight="false" outlineLevel="0" collapsed="false">
      <c r="A19" s="6" t="s">
        <v>469</v>
      </c>
      <c r="B19" s="16" t="n">
        <f aca="false">c_e</f>
        <v>255.285381665338</v>
      </c>
      <c r="C19" s="6" t="n">
        <v>240</v>
      </c>
      <c r="D19" s="6" t="n">
        <v>310</v>
      </c>
      <c r="E19" s="6" t="n">
        <v>200</v>
      </c>
      <c r="F19" s="6" t="n">
        <v>260</v>
      </c>
      <c r="G19" s="6" t="str">
        <f aca="false">IF(IF(tip="MAS",AND(B19&gt;=C19,B19&lt;=D19),AND(B19&gt;=E19,B19&lt;=F19)),"în domeniu","verificați")</f>
        <v>în domeniu</v>
      </c>
    </row>
    <row r="20" customFormat="false" ht="15" hidden="false" customHeight="false" outlineLevel="0" collapsed="false">
      <c r="A20" s="6" t="s">
        <v>494</v>
      </c>
      <c r="B20" s="16" t="n">
        <f aca="false">W_m</f>
        <v>12.9422481356919</v>
      </c>
      <c r="C20" s="6" t="n">
        <v>8</v>
      </c>
      <c r="D20" s="6" t="n">
        <v>20</v>
      </c>
      <c r="E20" s="6" t="n">
        <v>8</v>
      </c>
      <c r="F20" s="6" t="n">
        <v>14</v>
      </c>
      <c r="G20" s="6" t="str">
        <f aca="false">IF(IF(tip="MAS",AND(B20&gt;=C20,B20&lt;=D20),AND(B20&gt;=E20,B20&lt;=F20)),"în domeniu","verificați")</f>
        <v>în domeniu</v>
      </c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</row>
    <row r="23" customFormat="false" ht="15" hidden="false" customHeight="false" outlineLevel="0" collapsed="false">
      <c r="A23" s="8" t="s">
        <v>495</v>
      </c>
      <c r="B23" s="4"/>
      <c r="C23" s="4"/>
      <c r="D23" s="4"/>
      <c r="E23" s="4"/>
      <c r="F23" s="4"/>
      <c r="G2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</cols>
  <sheetData>
    <row r="1" customFormat="false" ht="15" hidden="false" customHeight="false" outlineLevel="0" collapsed="false">
      <c r="A1" s="22" t="s">
        <v>496</v>
      </c>
      <c r="B1" s="4"/>
      <c r="C1" s="4"/>
      <c r="D1" s="4"/>
      <c r="E1" s="4"/>
      <c r="F1" s="4"/>
      <c r="G1" s="4"/>
      <c r="H1" s="4"/>
      <c r="I1" s="4"/>
    </row>
    <row r="2" customFormat="false" ht="15" hidden="false" customHeight="false" outlineLevel="0" collapsed="false">
      <c r="A2" s="4" t="s">
        <v>497</v>
      </c>
      <c r="B2" s="4" t="s">
        <v>498</v>
      </c>
      <c r="C2" s="4"/>
      <c r="D2" s="4" t="s">
        <v>499</v>
      </c>
      <c r="E2" s="4"/>
      <c r="F2" s="4" t="s">
        <v>500</v>
      </c>
      <c r="G2" s="4"/>
      <c r="H2" s="4"/>
      <c r="I2" s="4"/>
    </row>
    <row r="3" customFormat="false" ht="15" hidden="false" customHeight="false" outlineLevel="0" collapsed="false">
      <c r="A3" s="4" t="s">
        <v>501</v>
      </c>
      <c r="B3" s="4"/>
      <c r="C3" s="23" t="n">
        <f aca="false">INDEX($A$5:$A$71,MATCH(I_a,$B$5:$B$71,1))+50*(I_a-INDEX($B$5:$B$71,MATCH(I_a,$B$5:$B$71,1)))/(INDEX($B$5:$B$71,MATCH(I_a,$B$5:$B$71,1)+1)-INDEX($B$5:$B$71,MATCH(I_a,$B$5:$B$71,1)))</f>
        <v>357.693868569894</v>
      </c>
      <c r="D3" s="4"/>
      <c r="E3" s="23" t="n">
        <f aca="false">INDEX($A$5:$A$71,MATCH(U_y,$D$5:$D$71,1))+50*(U_y-INDEX($D$5:$D$71,MATCH(U_y,$D$5:$D$71,1)))/(INDEX($D$5:$D$71,MATCH(U_y,$D$5:$D$71,1)+1)-INDEX($D$5:$D$71,MATCH(U_y,$D$5:$D$71,1)))</f>
        <v>2815.83297051384</v>
      </c>
      <c r="F3" s="4"/>
      <c r="G3" s="23" t="n">
        <f aca="false">INDEX($A$5:$A$71,MATCH(I_z,$F$5:$F$71,1))+50*(I_z-INDEX($F$5:$F$71,MATCH(I_z,$F$5:$F$71,1)))/(INDEX($F$5:$F$71,MATCH(I_z,$F$5:$F$71,1)+1)-INDEX($F$5:$F$71,MATCH(I_z,$F$5:$F$71,1)))</f>
        <v>2815.83297051384</v>
      </c>
      <c r="H3" s="4"/>
      <c r="I3" s="4"/>
    </row>
    <row r="4" customFormat="false" ht="23.85" hidden="false" customHeight="false" outlineLevel="0" collapsed="false">
      <c r="A4" s="5" t="s">
        <v>502</v>
      </c>
      <c r="B4" s="5" t="s">
        <v>503</v>
      </c>
      <c r="C4" s="5" t="s">
        <v>504</v>
      </c>
      <c r="D4" s="5" t="s">
        <v>505</v>
      </c>
      <c r="E4" s="5" t="s">
        <v>319</v>
      </c>
      <c r="F4" s="5" t="s">
        <v>506</v>
      </c>
      <c r="G4" s="5" t="s">
        <v>507</v>
      </c>
      <c r="H4" s="5" t="s">
        <v>508</v>
      </c>
      <c r="I4" s="5" t="s">
        <v>509</v>
      </c>
    </row>
    <row r="5" customFormat="false" ht="15" hidden="false" customHeight="false" outlineLevel="0" collapsed="false">
      <c r="A5" s="4" t="n">
        <f aca="false">Tabele!A5</f>
        <v>200</v>
      </c>
      <c r="B5" s="18" t="n">
        <f aca="false">a_CO2*Tabele!F5+a_H2O*Tabele!G5+a_O2*Tabele!H5+a_N2*Tabele!I5</f>
        <v>3219.66488090802</v>
      </c>
      <c r="C5" s="18" t="n">
        <f aca="false">a_CO2*Tabele!B5+a_H2O*Tabele!C5+a_O2*Tabele!D5+a_N2*Tabele!E5</f>
        <v>2301.92505224519</v>
      </c>
      <c r="D5" s="18" t="n">
        <f aca="false">y_CO2*Tabele!B5+y_H2O*Tabele!C5+y_O2*Tabele!D5+y_N2*Tabele!E5</f>
        <v>2483.85567943817</v>
      </c>
      <c r="E5" s="18" t="n">
        <f aca="false">y_CO2*Tabele!F5+y_H2O*Tabele!G5+y_O2*Tabele!H5+y_N2*Tabele!I5</f>
        <v>3447.28948397819</v>
      </c>
      <c r="F5" s="18" t="n">
        <f aca="false">z_CO2*Tabele!F5+z_H2O*Tabele!G5+z_O2*Tabele!H5+z_N2*Tabele!I5</f>
        <v>3447.28948397819</v>
      </c>
      <c r="G5" s="18" t="n">
        <f aca="false">z_CO2*Tabele!B5+z_H2O*Tabele!C5+z_O2*Tabele!D5+z_N2*Tabele!E5</f>
        <v>2483.85567943817</v>
      </c>
      <c r="H5" s="24" t="n">
        <f aca="false">C5/(M_a*A5)</f>
        <v>20.8538949627825</v>
      </c>
      <c r="I5" s="24" t="n">
        <f aca="false">G5/(M_z*A5)</f>
        <v>21.434894342491</v>
      </c>
    </row>
    <row r="6" customFormat="false" ht="15" hidden="false" customHeight="false" outlineLevel="0" collapsed="false">
      <c r="A6" s="4" t="n">
        <f aca="false">Tabele!A6</f>
        <v>250</v>
      </c>
      <c r="B6" s="18" t="n">
        <f aca="false">a_CO2*Tabele!F6+a_H2O*Tabele!G6+a_O2*Tabele!H6+a_N2*Tabele!I6</f>
        <v>4019.85872793104</v>
      </c>
      <c r="C6" s="18" t="n">
        <f aca="false">a_CO2*Tabele!B6+a_H2O*Tabele!C6+a_O2*Tabele!D6+a_N2*Tabele!E6</f>
        <v>2872.64344221675</v>
      </c>
      <c r="D6" s="18" t="n">
        <f aca="false">y_CO2*Tabele!B6+y_H2O*Tabele!C6+y_O2*Tabele!D6+y_N2*Tabele!E6</f>
        <v>3114.53685669044</v>
      </c>
      <c r="E6" s="18" t="n">
        <f aca="false">y_CO2*Tabele!F6+y_H2O*Tabele!G6+y_O2*Tabele!H6+y_N2*Tabele!I6</f>
        <v>4318.86805907139</v>
      </c>
      <c r="F6" s="18" t="n">
        <f aca="false">z_CO2*Tabele!F6+z_H2O*Tabele!G6+z_O2*Tabele!H6+z_N2*Tabele!I6</f>
        <v>4318.86805907139</v>
      </c>
      <c r="G6" s="18" t="n">
        <f aca="false">z_CO2*Tabele!B6+z_H2O*Tabele!C6+z_O2*Tabele!D6+z_N2*Tabele!E6</f>
        <v>3114.53685669044</v>
      </c>
      <c r="H6" s="24" t="n">
        <f aca="false">C6/(M_a*A6)</f>
        <v>20.819376217687</v>
      </c>
      <c r="I6" s="24" t="n">
        <f aca="false">G6/(M_z*A6)</f>
        <v>21.501979845803</v>
      </c>
    </row>
    <row r="7" customFormat="false" ht="15" hidden="false" customHeight="false" outlineLevel="0" collapsed="false">
      <c r="A7" s="4" t="n">
        <f aca="false">Tabele!A7</f>
        <v>300</v>
      </c>
      <c r="B7" s="18" t="n">
        <f aca="false">a_CO2*Tabele!F7+a_H2O*Tabele!G7+a_O2*Tabele!H7+a_N2*Tabele!I7</f>
        <v>4824.31528407157</v>
      </c>
      <c r="C7" s="18" t="n">
        <f aca="false">a_CO2*Tabele!B7+a_H2O*Tabele!C7+a_O2*Tabele!D7+a_N2*Tabele!E7</f>
        <v>3447.61320102515</v>
      </c>
      <c r="D7" s="18" t="n">
        <f aca="false">y_CO2*Tabele!B7+y_H2O*Tabele!C7+y_O2*Tabele!D7+y_N2*Tabele!E7</f>
        <v>3757.88828874445</v>
      </c>
      <c r="E7" s="18" t="n">
        <f aca="false">y_CO2*Tabele!F7+y_H2O*Tabele!G7+y_O2*Tabele!H7+y_N2*Tabele!I7</f>
        <v>5203.12442003648</v>
      </c>
      <c r="F7" s="18" t="n">
        <f aca="false">z_CO2*Tabele!F7+z_H2O*Tabele!G7+z_O2*Tabele!H7+z_N2*Tabele!I7</f>
        <v>5203.12442003648</v>
      </c>
      <c r="G7" s="18" t="n">
        <f aca="false">z_CO2*Tabele!B7+z_H2O*Tabele!C7+z_O2*Tabele!D7+z_N2*Tabele!E7</f>
        <v>3757.88828874445</v>
      </c>
      <c r="H7" s="24" t="n">
        <f aca="false">C7/(M_a*A7)</f>
        <v>20.8220400852051</v>
      </c>
      <c r="I7" s="24" t="n">
        <f aca="false">G7/(M_z*A7)</f>
        <v>21.6195970608463</v>
      </c>
    </row>
    <row r="8" customFormat="false" ht="15" hidden="false" customHeight="false" outlineLevel="0" collapsed="false">
      <c r="A8" s="4" t="n">
        <f aca="false">Tabele!A8</f>
        <v>350</v>
      </c>
      <c r="B8" s="18" t="n">
        <f aca="false">a_CO2*Tabele!F8+a_H2O*Tabele!G8+a_O2*Tabele!H8+a_N2*Tabele!I8</f>
        <v>5633.32422310575</v>
      </c>
      <c r="C8" s="18" t="n">
        <f aca="false">a_CO2*Tabele!B8+a_H2O*Tabele!C8+a_O2*Tabele!D8+a_N2*Tabele!E8</f>
        <v>4027.24408053314</v>
      </c>
      <c r="D8" s="18" t="n">
        <f aca="false">y_CO2*Tabele!B8+y_H2O*Tabele!C8+y_O2*Tabele!D8+y_N2*Tabele!E8</f>
        <v>4413.21431737525</v>
      </c>
      <c r="E8" s="18" t="n">
        <f aca="false">y_CO2*Tabele!F8+y_H2O*Tabele!G8+y_O2*Tabele!H8+y_N2*Tabele!I8</f>
        <v>6099.27001915838</v>
      </c>
      <c r="F8" s="18" t="n">
        <f aca="false">z_CO2*Tabele!F8+z_H2O*Tabele!G8+z_O2*Tabele!H8+z_N2*Tabele!I8</f>
        <v>6099.27001915838</v>
      </c>
      <c r="G8" s="18" t="n">
        <f aca="false">z_CO2*Tabele!B8+z_H2O*Tabele!C8+z_O2*Tabele!D8+z_N2*Tabele!E8</f>
        <v>4413.21431737525</v>
      </c>
      <c r="H8" s="24" t="n">
        <f aca="false">C8/(M_a*A8)</f>
        <v>20.8480723466057</v>
      </c>
      <c r="I8" s="24" t="n">
        <f aca="false">G8/(M_z*A8)</f>
        <v>21.7626590757489</v>
      </c>
    </row>
    <row r="9" customFormat="false" ht="15" hidden="false" customHeight="false" outlineLevel="0" collapsed="false">
      <c r="A9" s="4" t="n">
        <f aca="false">Tabele!A9</f>
        <v>400</v>
      </c>
      <c r="B9" s="18" t="n">
        <f aca="false">a_CO2*Tabele!F9+a_H2O*Tabele!G9+a_O2*Tabele!H9+a_N2*Tabele!I9</f>
        <v>6447.49783057417</v>
      </c>
      <c r="C9" s="18" t="n">
        <f aca="false">a_CO2*Tabele!B9+a_H2O*Tabele!C9+a_O2*Tabele!D9+a_N2*Tabele!E9</f>
        <v>4611.93129673958</v>
      </c>
      <c r="D9" s="18" t="n">
        <f aca="false">y_CO2*Tabele!B9+y_H2O*Tabele!C9+y_O2*Tabele!D9+y_N2*Tabele!E9</f>
        <v>5079.99390200274</v>
      </c>
      <c r="E9" s="18" t="n">
        <f aca="false">y_CO2*Tabele!F9+y_H2O*Tabele!G9+y_O2*Tabele!H9+y_N2*Tabele!I9</f>
        <v>7006.9470016268</v>
      </c>
      <c r="F9" s="18" t="n">
        <f aca="false">z_CO2*Tabele!F9+z_H2O*Tabele!G9+z_O2*Tabele!H9+z_N2*Tabele!I9</f>
        <v>7006.9470016268</v>
      </c>
      <c r="G9" s="18" t="n">
        <f aca="false">z_CO2*Tabele!B9+z_H2O*Tabele!C9+z_O2*Tabele!D9+z_N2*Tabele!E9</f>
        <v>5079.99390200274</v>
      </c>
      <c r="H9" s="24" t="n">
        <f aca="false">C9/(M_a*A9)</f>
        <v>20.8905000499409</v>
      </c>
      <c r="I9" s="24" t="n">
        <f aca="false">G9/(M_z*A9)</f>
        <v>21.9193758822891</v>
      </c>
    </row>
    <row r="10" customFormat="false" ht="15" hidden="false" customHeight="false" outlineLevel="0" collapsed="false">
      <c r="A10" s="4" t="n">
        <f aca="false">Tabele!A10</f>
        <v>450</v>
      </c>
      <c r="B10" s="18" t="n">
        <f aca="false">a_CO2*Tabele!F10+a_H2O*Tabele!G10+a_O2*Tabele!H10+a_N2*Tabele!I10</f>
        <v>7267.4359150004</v>
      </c>
      <c r="C10" s="18" t="n">
        <f aca="false">a_CO2*Tabele!B10+a_H2O*Tabele!C10+a_O2*Tabele!D10+a_N2*Tabele!E10</f>
        <v>5202.43736236883</v>
      </c>
      <c r="D10" s="18" t="n">
        <f aca="false">y_CO2*Tabele!B10+y_H2O*Tabele!C10+y_O2*Tabele!D10+y_N2*Tabele!E10</f>
        <v>5758.20256193023</v>
      </c>
      <c r="E10" s="18" t="n">
        <f aca="false">y_CO2*Tabele!F10+y_H2O*Tabele!G10+y_O2*Tabele!H10+y_N2*Tabele!I10</f>
        <v>7926.01031412321</v>
      </c>
      <c r="F10" s="18" t="n">
        <f aca="false">z_CO2*Tabele!F10+z_H2O*Tabele!G10+z_O2*Tabele!H10+z_N2*Tabele!I10</f>
        <v>7926.01031412321</v>
      </c>
      <c r="G10" s="18" t="n">
        <f aca="false">z_CO2*Tabele!B10+z_H2O*Tabele!C10+z_O2*Tabele!D10+z_N2*Tabele!E10</f>
        <v>5758.20256193023</v>
      </c>
      <c r="H10" s="24" t="n">
        <f aca="false">C10/(M_a*A10)</f>
        <v>20.946928204862</v>
      </c>
      <c r="I10" s="24" t="n">
        <f aca="false">G10/(M_z*A10)</f>
        <v>22.0851019895995</v>
      </c>
    </row>
    <row r="11" customFormat="false" ht="15" hidden="false" customHeight="false" outlineLevel="0" collapsed="false">
      <c r="A11" s="4" t="n">
        <f aca="false">Tabele!A11</f>
        <v>500</v>
      </c>
      <c r="B11" s="18" t="n">
        <f aca="false">a_CO2*Tabele!F11+a_H2O*Tabele!G11+a_O2*Tabele!H11+a_N2*Tabele!I11</f>
        <v>8093.88910214305</v>
      </c>
      <c r="C11" s="18" t="n">
        <f aca="false">a_CO2*Tabele!B11+a_H2O*Tabele!C11+a_O2*Tabele!D11+a_N2*Tabele!E11</f>
        <v>5799.41509246002</v>
      </c>
      <c r="D11" s="18" t="n">
        <f aca="false">y_CO2*Tabele!B11+y_H2O*Tabele!C11+y_O2*Tabele!D11+y_N2*Tabele!E11</f>
        <v>6447.85750474072</v>
      </c>
      <c r="E11" s="18" t="n">
        <f aca="false">y_CO2*Tabele!F11+y_H2O*Tabele!G11+y_O2*Tabele!H11+y_N2*Tabele!I11</f>
        <v>8856.56265477463</v>
      </c>
      <c r="F11" s="18" t="n">
        <f aca="false">z_CO2*Tabele!F11+z_H2O*Tabele!G11+z_O2*Tabele!H11+z_N2*Tabele!I11</f>
        <v>8856.56265477463</v>
      </c>
      <c r="G11" s="18" t="n">
        <f aca="false">z_CO2*Tabele!B11+z_H2O*Tabele!C11+z_O2*Tabele!D11+z_N2*Tabele!E11</f>
        <v>6447.85750474072</v>
      </c>
      <c r="H11" s="24" t="n">
        <f aca="false">C11/(M_a*A11)</f>
        <v>21.0155223022187</v>
      </c>
      <c r="I11" s="24" t="n">
        <f aca="false">G11/(M_z*A11)</f>
        <v>22.2571940058638</v>
      </c>
    </row>
    <row r="12" customFormat="false" ht="15" hidden="false" customHeight="false" outlineLevel="0" collapsed="false">
      <c r="A12" s="4" t="n">
        <f aca="false">Tabele!A12</f>
        <v>550</v>
      </c>
      <c r="B12" s="18" t="n">
        <f aca="false">a_CO2*Tabele!F12+a_H2O*Tabele!G12+a_O2*Tabele!H12+a_N2*Tabele!I12</f>
        <v>8927.58439869219</v>
      </c>
      <c r="C12" s="18" t="n">
        <f aca="false">a_CO2*Tabele!B12+a_H2O*Tabele!C12+a_O2*Tabele!D12+a_N2*Tabele!E12</f>
        <v>6403.66702280745</v>
      </c>
      <c r="D12" s="18" t="n">
        <f aca="false">y_CO2*Tabele!B12+y_H2O*Tabele!C12+y_O2*Tabele!D12+y_N2*Tabele!E12</f>
        <v>7149.25163684254</v>
      </c>
      <c r="E12" s="18" t="n">
        <f aca="false">y_CO2*Tabele!F12+y_H2O*Tabele!G12+y_O2*Tabele!H12+y_N2*Tabele!I12</f>
        <v>9798.81910263956</v>
      </c>
      <c r="F12" s="18" t="n">
        <f aca="false">z_CO2*Tabele!F12+z_H2O*Tabele!G12+z_O2*Tabele!H12+z_N2*Tabele!I12</f>
        <v>9798.81910263956</v>
      </c>
      <c r="G12" s="18" t="n">
        <f aca="false">z_CO2*Tabele!B12+z_H2O*Tabele!C12+z_O2*Tabele!D12+z_N2*Tabele!E12</f>
        <v>7149.25163684254</v>
      </c>
      <c r="H12" s="24" t="n">
        <f aca="false">C12/(M_a*A12)</f>
        <v>21.0956081523649</v>
      </c>
      <c r="I12" s="24" t="n">
        <f aca="false">G12/(M_z*A12)</f>
        <v>22.4348349342047</v>
      </c>
    </row>
    <row r="13" customFormat="false" ht="15" hidden="false" customHeight="false" outlineLevel="0" collapsed="false">
      <c r="A13" s="4" t="n">
        <f aca="false">Tabele!A13</f>
        <v>600</v>
      </c>
      <c r="B13" s="18" t="n">
        <f aca="false">a_CO2*Tabele!F13+a_H2O*Tabele!G13+a_O2*Tabele!H13+a_N2*Tabele!I13</f>
        <v>9769.27012594985</v>
      </c>
      <c r="C13" s="18" t="n">
        <f aca="false">a_CO2*Tabele!B13+a_H2O*Tabele!C13+a_O2*Tabele!D13+a_N2*Tabele!E13</f>
        <v>7015.92032519797</v>
      </c>
      <c r="D13" s="18" t="n">
        <f aca="false">y_CO2*Tabele!B13+y_H2O*Tabele!C13+y_O2*Tabele!D13+y_N2*Tabele!E13</f>
        <v>7862.69966511025</v>
      </c>
      <c r="E13" s="18" t="n">
        <f aca="false">y_CO2*Tabele!F13+y_H2O*Tabele!G13+y_O2*Tabele!H13+y_N2*Tabele!I13</f>
        <v>10753.1293145463</v>
      </c>
      <c r="F13" s="18" t="n">
        <f aca="false">z_CO2*Tabele!F13+z_H2O*Tabele!G13+z_O2*Tabele!H13+z_N2*Tabele!I13</f>
        <v>10753.1293145463</v>
      </c>
      <c r="G13" s="18" t="n">
        <f aca="false">z_CO2*Tabele!B13+z_H2O*Tabele!C13+z_O2*Tabele!D13+z_N2*Tabele!E13</f>
        <v>7862.69966511025</v>
      </c>
      <c r="H13" s="24" t="n">
        <f aca="false">C13/(M_a*A13)</f>
        <v>21.1865087131061</v>
      </c>
      <c r="I13" s="24" t="n">
        <f aca="false">G13/(M_z*A13)</f>
        <v>22.6175428204293</v>
      </c>
    </row>
    <row r="14" customFormat="false" ht="15" hidden="false" customHeight="false" outlineLevel="0" collapsed="false">
      <c r="A14" s="4" t="n">
        <f aca="false">Tabele!A14</f>
        <v>650</v>
      </c>
      <c r="B14" s="18" t="n">
        <f aca="false">a_CO2*Tabele!F14+a_H2O*Tabele!G14+a_O2*Tabele!H14+a_N2*Tabele!I14</f>
        <v>10619.7170875502</v>
      </c>
      <c r="C14" s="18" t="n">
        <f aca="false">a_CO2*Tabele!B14+a_H2O*Tabele!C14+a_O2*Tabele!D14+a_N2*Tabele!E14</f>
        <v>7636.93526800135</v>
      </c>
      <c r="D14" s="18" t="n">
        <f aca="false">y_CO2*Tabele!B14+y_H2O*Tabele!C14+y_O2*Tabele!D14+y_N2*Tabele!E14</f>
        <v>8588.66659694872</v>
      </c>
      <c r="E14" s="18" t="n">
        <f aca="false">y_CO2*Tabele!F14+y_H2O*Tabele!G14+y_O2*Tabele!H14+y_N2*Tabele!I14</f>
        <v>11719.9508989537</v>
      </c>
      <c r="F14" s="18" t="n">
        <f aca="false">z_CO2*Tabele!F14+z_H2O*Tabele!G14+z_O2*Tabele!H14+z_N2*Tabele!I14</f>
        <v>11719.9508989537</v>
      </c>
      <c r="G14" s="18" t="n">
        <f aca="false">z_CO2*Tabele!B14+z_H2O*Tabele!C14+z_O2*Tabele!D14+z_N2*Tabele!E14</f>
        <v>8588.66659694872</v>
      </c>
      <c r="H14" s="24" t="n">
        <f aca="false">C14/(M_a*A14)</f>
        <v>21.287847519173</v>
      </c>
      <c r="I14" s="24" t="n">
        <f aca="false">G14/(M_z*A14)</f>
        <v>22.8053830951327</v>
      </c>
    </row>
    <row r="15" customFormat="false" ht="15" hidden="false" customHeight="false" outlineLevel="0" collapsed="false">
      <c r="A15" s="4" t="n">
        <f aca="false">Tabele!A15</f>
        <v>700</v>
      </c>
      <c r="B15" s="18" t="n">
        <f aca="false">a_CO2*Tabele!F15+a_H2O*Tabele!G15+a_O2*Tabele!H15+a_N2*Tabele!I15</f>
        <v>11479.5111518017</v>
      </c>
      <c r="C15" s="18" t="n">
        <f aca="false">a_CO2*Tabele!B15+a_H2O*Tabele!C15+a_O2*Tabele!D15+a_N2*Tabele!E15</f>
        <v>8267.29731345582</v>
      </c>
      <c r="D15" s="18" t="n">
        <f aca="false">y_CO2*Tabele!B15+y_H2O*Tabele!C15+y_O2*Tabele!D15+y_N2*Tabele!E15</f>
        <v>9327.52349328038</v>
      </c>
      <c r="E15" s="18" t="n">
        <f aca="false">y_CO2*Tabele!F15+y_H2O*Tabele!G15+y_O2*Tabele!H15+y_N2*Tabele!I15</f>
        <v>12699.6624478543</v>
      </c>
      <c r="F15" s="18" t="n">
        <f aca="false">z_CO2*Tabele!F15+z_H2O*Tabele!G15+z_O2*Tabele!H15+z_N2*Tabele!I15</f>
        <v>12699.6624478543</v>
      </c>
      <c r="G15" s="18" t="n">
        <f aca="false">z_CO2*Tabele!B15+z_H2O*Tabele!C15+z_O2*Tabele!D15+z_N2*Tabele!E15</f>
        <v>9327.52349328038</v>
      </c>
      <c r="H15" s="24" t="n">
        <f aca="false">C15/(M_a*A15)</f>
        <v>21.3989032021879</v>
      </c>
      <c r="I15" s="24" t="n">
        <f aca="false">G15/(M_z*A15)</f>
        <v>22.9981708577013</v>
      </c>
    </row>
    <row r="16" customFormat="false" ht="15" hidden="false" customHeight="false" outlineLevel="0" collapsed="false">
      <c r="A16" s="4" t="n">
        <f aca="false">Tabele!A16</f>
        <v>750</v>
      </c>
      <c r="B16" s="18" t="n">
        <f aca="false">a_CO2*Tabele!F16+a_H2O*Tabele!G16+a_O2*Tabele!H16+a_N2*Tabele!I16</f>
        <v>12349.1314795574</v>
      </c>
      <c r="C16" s="18" t="n">
        <f aca="false">a_CO2*Tabele!B16+a_H2O*Tabele!C16+a_O2*Tabele!D16+a_N2*Tabele!E16</f>
        <v>8907.44218416011</v>
      </c>
      <c r="D16" s="18" t="n">
        <f aca="false">y_CO2*Tabele!B16+y_H2O*Tabele!C16+y_O2*Tabele!D16+y_N2*Tabele!E16</f>
        <v>10079.5584977566</v>
      </c>
      <c r="E16" s="18" t="n">
        <f aca="false">y_CO2*Tabele!F16+y_H2O*Tabele!G16+y_O2*Tabele!H16+y_N2*Tabele!I16</f>
        <v>13692.5948501715</v>
      </c>
      <c r="F16" s="18" t="n">
        <f aca="false">z_CO2*Tabele!F16+z_H2O*Tabele!G16+z_O2*Tabele!H16+z_N2*Tabele!I16</f>
        <v>13692.5948501715</v>
      </c>
      <c r="G16" s="18" t="n">
        <f aca="false">z_CO2*Tabele!B16+z_H2O*Tabele!C16+z_O2*Tabele!D16+z_N2*Tabele!E16</f>
        <v>10079.5584977566</v>
      </c>
      <c r="H16" s="24" t="n">
        <f aca="false">C16/(M_a*A16)</f>
        <v>21.518785014523</v>
      </c>
      <c r="I16" s="24" t="n">
        <f aca="false">G16/(M_z*A16)</f>
        <v>23.1955797010171</v>
      </c>
    </row>
    <row r="17" customFormat="false" ht="15" hidden="false" customHeight="false" outlineLevel="0" collapsed="false">
      <c r="A17" s="4" t="n">
        <f aca="false">Tabele!A17</f>
        <v>800</v>
      </c>
      <c r="B17" s="18" t="n">
        <f aca="false">a_CO2*Tabele!F17+a_H2O*Tabele!G17+a_O2*Tabele!H17+a_N2*Tabele!I17</f>
        <v>13228.8311151664</v>
      </c>
      <c r="C17" s="18" t="n">
        <f aca="false">a_CO2*Tabele!B17+a_H2O*Tabele!C17+a_O2*Tabele!D17+a_N2*Tabele!E17</f>
        <v>9557.70938777793</v>
      </c>
      <c r="D17" s="18" t="n">
        <f aca="false">y_CO2*Tabele!B17+y_H2O*Tabele!C17+y_O2*Tabele!D17+y_N2*Tabele!E17</f>
        <v>10845.0038592692</v>
      </c>
      <c r="E17" s="18" t="n">
        <f aca="false">y_CO2*Tabele!F17+y_H2O*Tabele!G17+y_O2*Tabele!H17+y_N2*Tabele!I17</f>
        <v>14698.9025274471</v>
      </c>
      <c r="F17" s="18" t="n">
        <f aca="false">z_CO2*Tabele!F17+z_H2O*Tabele!G17+z_O2*Tabele!H17+z_N2*Tabele!I17</f>
        <v>14698.9025274471</v>
      </c>
      <c r="G17" s="18" t="n">
        <f aca="false">z_CO2*Tabele!B17+z_H2O*Tabele!C17+z_O2*Tabele!D17+z_N2*Tabele!E17</f>
        <v>10845.0038592692</v>
      </c>
      <c r="H17" s="24" t="n">
        <f aca="false">C17/(M_a*A17)</f>
        <v>21.6466069847842</v>
      </c>
      <c r="I17" s="24" t="n">
        <f aca="false">G17/(M_z*A17)</f>
        <v>23.3972442311869</v>
      </c>
    </row>
    <row r="18" customFormat="false" ht="15" hidden="false" customHeight="false" outlineLevel="0" collapsed="false">
      <c r="A18" s="4" t="n">
        <f aca="false">Tabele!A18</f>
        <v>850</v>
      </c>
      <c r="B18" s="18" t="n">
        <f aca="false">a_CO2*Tabele!F18+a_H2O*Tabele!G18+a_O2*Tabele!H18+a_N2*Tabele!I18</f>
        <v>14118.7234569122</v>
      </c>
      <c r="C18" s="18" t="n">
        <f aca="false">a_CO2*Tabele!B18+a_H2O*Tabele!C18+a_O2*Tabele!D18+a_N2*Tabele!E18</f>
        <v>10218.1583704461</v>
      </c>
      <c r="D18" s="18" t="n">
        <f aca="false">y_CO2*Tabele!B18+y_H2O*Tabele!C18+y_O2*Tabele!D18+y_N2*Tabele!E18</f>
        <v>11623.8805414987</v>
      </c>
      <c r="E18" s="18" t="n">
        <f aca="false">y_CO2*Tabele!F18+y_H2O*Tabele!G18+y_O2*Tabele!H18+y_N2*Tabele!I18</f>
        <v>15718.6413933158</v>
      </c>
      <c r="F18" s="18" t="n">
        <f aca="false">z_CO2*Tabele!F18+z_H2O*Tabele!G18+z_O2*Tabele!H18+z_N2*Tabele!I18</f>
        <v>15718.6413933158</v>
      </c>
      <c r="G18" s="18" t="n">
        <f aca="false">z_CO2*Tabele!B18+z_H2O*Tabele!C18+z_O2*Tabele!D18+z_N2*Tabele!E18</f>
        <v>11623.8805414987</v>
      </c>
      <c r="H18" s="24" t="n">
        <f aca="false">C18/(M_a*A18)</f>
        <v>21.7810946244138</v>
      </c>
      <c r="I18" s="24" t="n">
        <f aca="false">G18/(M_z*A18)</f>
        <v>23.6024560117021</v>
      </c>
    </row>
    <row r="19" customFormat="false" ht="15" hidden="false" customHeight="false" outlineLevel="0" collapsed="false">
      <c r="A19" s="4" t="n">
        <f aca="false">Tabele!A19</f>
        <v>900</v>
      </c>
      <c r="B19" s="18" t="n">
        <f aca="false">a_CO2*Tabele!F19+a_H2O*Tabele!G19+a_O2*Tabele!H19+a_N2*Tabele!I19</f>
        <v>15018.5780872943</v>
      </c>
      <c r="C19" s="18" t="n">
        <f aca="false">a_CO2*Tabele!B19+a_H2O*Tabele!C19+a_O2*Tabele!D19+a_N2*Tabele!E19</f>
        <v>10888.5809820311</v>
      </c>
      <c r="D19" s="18" t="n">
        <f aca="false">y_CO2*Tabele!B19+y_H2O*Tabele!C19+y_O2*Tabele!D19+y_N2*Tabele!E19</f>
        <v>12415.9783351013</v>
      </c>
      <c r="E19" s="18" t="n">
        <f aca="false">y_CO2*Tabele!F19+y_H2O*Tabele!G19+y_O2*Tabele!H19+y_N2*Tabele!I19</f>
        <v>16751.5938394872</v>
      </c>
      <c r="F19" s="18" t="n">
        <f aca="false">z_CO2*Tabele!F19+z_H2O*Tabele!G19+z_O2*Tabele!H19+z_N2*Tabele!I19</f>
        <v>16751.5938394872</v>
      </c>
      <c r="G19" s="18" t="n">
        <f aca="false">z_CO2*Tabele!B19+z_H2O*Tabele!C19+z_O2*Tabele!D19+z_N2*Tabele!E19</f>
        <v>12415.9783351013</v>
      </c>
      <c r="H19" s="24" t="n">
        <f aca="false">C19/(M_a*A19)</f>
        <v>21.9207179439811</v>
      </c>
      <c r="I19" s="24" t="n">
        <f aca="false">G19/(M_z*A19)</f>
        <v>23.8102207140358</v>
      </c>
    </row>
    <row r="20" customFormat="false" ht="15" hidden="false" customHeight="false" outlineLevel="0" collapsed="false">
      <c r="A20" s="4" t="n">
        <f aca="false">Tabele!A20</f>
        <v>950</v>
      </c>
      <c r="B20" s="18" t="n">
        <f aca="false">a_CO2*Tabele!F20+a_H2O*Tabele!G20+a_O2*Tabele!H20+a_N2*Tabele!I20</f>
        <v>15927.9183260379</v>
      </c>
      <c r="C20" s="18" t="n">
        <f aca="false">a_CO2*Tabele!B20+a_H2O*Tabele!C20+a_O2*Tabele!D20+a_N2*Tabele!E20</f>
        <v>11568.444944459</v>
      </c>
      <c r="D20" s="18" t="n">
        <f aca="false">y_CO2*Tabele!B20+y_H2O*Tabele!C20+y_O2*Tabele!D20+y_N2*Tabele!E20</f>
        <v>13220.7247843712</v>
      </c>
      <c r="E20" s="18" t="n">
        <f aca="false">y_CO2*Tabele!F20+y_H2O*Tabele!G20+y_O2*Tabele!H20+y_N2*Tabele!I20</f>
        <v>17797.2528808625</v>
      </c>
      <c r="F20" s="18" t="n">
        <f aca="false">z_CO2*Tabele!F20+z_H2O*Tabele!G20+z_O2*Tabele!H20+z_N2*Tabele!I20</f>
        <v>17797.2528808625</v>
      </c>
      <c r="G20" s="18" t="n">
        <f aca="false">z_CO2*Tabele!B20+z_H2O*Tabele!C20+z_O2*Tabele!D20+z_N2*Tabele!E20</f>
        <v>13220.7247843712</v>
      </c>
      <c r="H20" s="24" t="n">
        <f aca="false">C20/(M_a*A20)</f>
        <v>22.0636508715245</v>
      </c>
      <c r="I20" s="24" t="n">
        <f aca="false">G20/(M_z*A20)</f>
        <v>24.0190952214939</v>
      </c>
    </row>
    <row r="21" customFormat="false" ht="15" hidden="false" customHeight="false" outlineLevel="0" collapsed="false">
      <c r="A21" s="4" t="n">
        <f aca="false">Tabele!A21</f>
        <v>1000</v>
      </c>
      <c r="B21" s="18" t="n">
        <f aca="false">a_CO2*Tabele!F21+a_H2O*Tabele!G21+a_O2*Tabele!H21+a_N2*Tabele!I21</f>
        <v>16845.8253314402</v>
      </c>
      <c r="C21" s="18" t="n">
        <f aca="false">a_CO2*Tabele!B21+a_H2O*Tabele!C21+a_O2*Tabele!D21+a_N2*Tabele!E21</f>
        <v>12256.9524351082</v>
      </c>
      <c r="D21" s="18" t="n">
        <f aca="false">y_CO2*Tabele!B21+y_H2O*Tabele!C21+y_O2*Tabele!D21+y_N2*Tabele!E21</f>
        <v>14037.3543123012</v>
      </c>
      <c r="E21" s="18" t="n">
        <f aca="false">y_CO2*Tabele!F21+y_H2O*Tabele!G21+y_O2*Tabele!H21+y_N2*Tabele!I21</f>
        <v>18854.6943160894</v>
      </c>
      <c r="F21" s="18" t="n">
        <f aca="false">z_CO2*Tabele!F21+z_H2O*Tabele!G21+z_O2*Tabele!H21+z_N2*Tabele!I21</f>
        <v>18854.6943160894</v>
      </c>
      <c r="G21" s="18" t="n">
        <f aca="false">z_CO2*Tabele!B21+z_H2O*Tabele!C21+z_O2*Tabele!D21+z_N2*Tabele!E21</f>
        <v>14037.3543123012</v>
      </c>
      <c r="H21" s="24" t="n">
        <f aca="false">C21/(M_a*A21)</f>
        <v>22.2079514184237</v>
      </c>
      <c r="I21" s="24" t="n">
        <f aca="false">G21/(M_z*A21)</f>
        <v>24.2275917254859</v>
      </c>
    </row>
    <row r="22" customFormat="false" ht="15" hidden="false" customHeight="false" outlineLevel="0" collapsed="false">
      <c r="A22" s="4" t="n">
        <f aca="false">Tabele!A22</f>
        <v>1050</v>
      </c>
      <c r="B22" s="18" t="n">
        <f aca="false">a_CO2*Tabele!F22+a_H2O*Tabele!G22+a_O2*Tabele!H22+a_N2*Tabele!I22</f>
        <v>17771.1364509937</v>
      </c>
      <c r="C22" s="18" t="n">
        <f aca="false">a_CO2*Tabele!B22+a_H2O*Tabele!C22+a_O2*Tabele!D22+a_N2*Tabele!E22</f>
        <v>12952.7880976103</v>
      </c>
      <c r="D22" s="18" t="n">
        <f aca="false">y_CO2*Tabele!B22+y_H2O*Tabele!C22+y_O2*Tabele!D22+y_N2*Tabele!E22</f>
        <v>14864.5029835752</v>
      </c>
      <c r="E22" s="18" t="n">
        <f aca="false">y_CO2*Tabele!F22+y_H2O*Tabele!G22+y_O2*Tabele!H22+y_N2*Tabele!I22</f>
        <v>19922.7403852042</v>
      </c>
      <c r="F22" s="18" t="n">
        <f aca="false">z_CO2*Tabele!F22+z_H2O*Tabele!G22+z_O2*Tabele!H22+z_N2*Tabele!I22</f>
        <v>19922.7403852042</v>
      </c>
      <c r="G22" s="18" t="n">
        <f aca="false">z_CO2*Tabele!B22+z_H2O*Tabele!C22+z_O2*Tabele!D22+z_N2*Tabele!E22</f>
        <v>14864.5029835752</v>
      </c>
      <c r="H22" s="24" t="n">
        <f aca="false">C22/(M_a*A22)</f>
        <v>22.3511544494785</v>
      </c>
      <c r="I22" s="24" t="n">
        <f aca="false">G22/(M_z*A22)</f>
        <v>24.4335222582463</v>
      </c>
    </row>
    <row r="23" customFormat="false" ht="15" hidden="false" customHeight="false" outlineLevel="0" collapsed="false">
      <c r="A23" s="4" t="n">
        <f aca="false">Tabele!A23</f>
        <v>1100</v>
      </c>
      <c r="B23" s="18" t="n">
        <f aca="false">a_CO2*Tabele!F23+a_H2O*Tabele!G23+a_O2*Tabele!H23+a_N2*Tabele!I23</f>
        <v>18703.1712978241</v>
      </c>
      <c r="C23" s="18" t="n">
        <f aca="false">a_CO2*Tabele!B23+a_H2O*Tabele!C23+a_O2*Tabele!D23+a_N2*Tabele!E23</f>
        <v>13655.3909256436</v>
      </c>
      <c r="D23" s="18" t="n">
        <f aca="false">y_CO2*Tabele!B23+y_H2O*Tabele!C23+y_O2*Tabele!D23+y_N2*Tabele!E23</f>
        <v>15701.5194015208</v>
      </c>
      <c r="E23" s="18" t="n">
        <f aca="false">y_CO2*Tabele!F23+y_H2O*Tabele!G23+y_O2*Tabele!H23+y_N2*Tabele!I23</f>
        <v>21000.6114557188</v>
      </c>
      <c r="F23" s="18" t="n">
        <f aca="false">z_CO2*Tabele!F23+z_H2O*Tabele!G23+z_O2*Tabele!H23+z_N2*Tabele!I23</f>
        <v>21000.6114557188</v>
      </c>
      <c r="G23" s="18" t="n">
        <f aca="false">z_CO2*Tabele!B23+z_H2O*Tabele!C23+z_O2*Tabele!D23+z_N2*Tabele!E23</f>
        <v>15701.5194015208</v>
      </c>
      <c r="H23" s="24" t="n">
        <f aca="false">C23/(M_a*A23)</f>
        <v>22.4924855640327</v>
      </c>
      <c r="I23" s="24" t="n">
        <f aca="false">G23/(M_z*A23)</f>
        <v>24.6362146615465</v>
      </c>
    </row>
    <row r="24" customFormat="false" ht="15" hidden="false" customHeight="false" outlineLevel="0" collapsed="false">
      <c r="A24" s="4" t="n">
        <f aca="false">Tabele!A24</f>
        <v>1150</v>
      </c>
      <c r="B24" s="18" t="n">
        <f aca="false">a_CO2*Tabele!F24+a_H2O*Tabele!G24+a_O2*Tabele!H24+a_N2*Tabele!I24</f>
        <v>19641.6490333188</v>
      </c>
      <c r="C24" s="18" t="n">
        <f aca="false">a_CO2*Tabele!B24+a_H2O*Tabele!C24+a_O2*Tabele!D24+a_N2*Tabele!E24</f>
        <v>14364.3923848225</v>
      </c>
      <c r="D24" s="18" t="n">
        <f aca="false">y_CO2*Tabele!B24+y_H2O*Tabele!C24+y_O2*Tabele!D24+y_N2*Tabele!E24</f>
        <v>16547.9226786822</v>
      </c>
      <c r="E24" s="18" t="n">
        <f aca="false">y_CO2*Tabele!F24+y_H2O*Tabele!G24+y_O2*Tabele!H24+y_N2*Tabele!I24</f>
        <v>22087.9273249855</v>
      </c>
      <c r="F24" s="18" t="n">
        <f aca="false">z_CO2*Tabele!F24+z_H2O*Tabele!G24+z_O2*Tabele!H24+z_N2*Tabele!I24</f>
        <v>22087.9273249855</v>
      </c>
      <c r="G24" s="18" t="n">
        <f aca="false">z_CO2*Tabele!B24+z_H2O*Tabele!C24+z_O2*Tabele!D24+z_N2*Tabele!E24</f>
        <v>16547.9226786822</v>
      </c>
      <c r="H24" s="24" t="n">
        <f aca="false">C24/(M_a*A24)</f>
        <v>22.631608286148</v>
      </c>
      <c r="I24" s="24" t="n">
        <f aca="false">G24/(M_z*A24)</f>
        <v>24.8353695770206</v>
      </c>
    </row>
    <row r="25" customFormat="false" ht="15" hidden="false" customHeight="false" outlineLevel="0" collapsed="false">
      <c r="A25" s="4" t="n">
        <f aca="false">Tabele!A25</f>
        <v>1200</v>
      </c>
      <c r="B25" s="18" t="n">
        <f aca="false">a_CO2*Tabele!F25+a_H2O*Tabele!G25+a_O2*Tabele!H25+a_N2*Tabele!I25</f>
        <v>20586.1884357465</v>
      </c>
      <c r="C25" s="18" t="n">
        <f aca="false">a_CO2*Tabele!B25+a_H2O*Tabele!C25+a_O2*Tabele!D25+a_N2*Tabele!E25</f>
        <v>15079.5326856914</v>
      </c>
      <c r="D25" s="18" t="n">
        <f aca="false">y_CO2*Tabele!B25+y_H2O*Tabele!C25+y_O2*Tabele!D25+y_N2*Tabele!E25</f>
        <v>17403.3174181475</v>
      </c>
      <c r="E25" s="18" t="n">
        <f aca="false">y_CO2*Tabele!F25+y_H2O*Tabele!G25+y_O2*Tabele!H25+y_N2*Tabele!I25</f>
        <v>23184.1263085535</v>
      </c>
      <c r="F25" s="18" t="n">
        <f aca="false">z_CO2*Tabele!F25+z_H2O*Tabele!G25+z_O2*Tabele!H25+z_N2*Tabele!I25</f>
        <v>23184.1263085535</v>
      </c>
      <c r="G25" s="18" t="n">
        <f aca="false">z_CO2*Tabele!B25+z_H2O*Tabele!C25+z_O2*Tabele!D25+z_N2*Tabele!E25</f>
        <v>17403.3174181475</v>
      </c>
      <c r="H25" s="24" t="n">
        <f aca="false">C25/(M_a*A25)</f>
        <v>22.7684064118811</v>
      </c>
      <c r="I25" s="24" t="n">
        <f aca="false">G25/(M_z*A25)</f>
        <v>25.0308604987874</v>
      </c>
    </row>
    <row r="26" customFormat="false" ht="15" hidden="false" customHeight="false" outlineLevel="0" collapsed="false">
      <c r="A26" s="4" t="n">
        <f aca="false">Tabele!A26</f>
        <v>1250</v>
      </c>
      <c r="B26" s="18" t="n">
        <f aca="false">a_CO2*Tabele!F26+a_H2O*Tabele!G26+a_O2*Tabele!H26+a_N2*Tabele!I26</f>
        <v>21536.5306423983</v>
      </c>
      <c r="C26" s="18" t="n">
        <f aca="false">a_CO2*Tabele!B26+a_H2O*Tabele!C26+a_O2*Tabele!D26+a_N2*Tabele!E26</f>
        <v>15800.4428735462</v>
      </c>
      <c r="D26" s="18" t="n">
        <f aca="false">y_CO2*Tabele!B26+y_H2O*Tabele!C26+y_O2*Tabele!D26+y_N2*Tabele!E26</f>
        <v>18267.2149371427</v>
      </c>
      <c r="E26" s="18" t="n">
        <f aca="false">y_CO2*Tabele!F26+y_H2O*Tabele!G26+y_O2*Tabele!H26+y_N2*Tabele!I26</f>
        <v>24288.8784801176</v>
      </c>
      <c r="F26" s="18" t="n">
        <f aca="false">z_CO2*Tabele!F26+z_H2O*Tabele!G26+z_O2*Tabele!H26+z_N2*Tabele!I26</f>
        <v>24288.8784801176</v>
      </c>
      <c r="G26" s="18" t="n">
        <f aca="false">z_CO2*Tabele!B26+z_H2O*Tabele!C26+z_O2*Tabele!D26+z_N2*Tabele!E26</f>
        <v>18267.2149371427</v>
      </c>
      <c r="H26" s="24" t="n">
        <f aca="false">C26/(M_a*A26)</f>
        <v>22.9026240957062</v>
      </c>
      <c r="I26" s="24" t="n">
        <f aca="false">G26/(M_z*A26)</f>
        <v>25.2224523574764</v>
      </c>
    </row>
    <row r="27" customFormat="false" ht="15" hidden="false" customHeight="false" outlineLevel="0" collapsed="false">
      <c r="A27" s="4" t="n">
        <f aca="false">Tabele!A27</f>
        <v>1300</v>
      </c>
      <c r="B27" s="18" t="n">
        <f aca="false">a_CO2*Tabele!F27+a_H2O*Tabele!G27+a_O2*Tabele!H27+a_N2*Tabele!I27</f>
        <v>22492.4166759588</v>
      </c>
      <c r="C27" s="18" t="n">
        <f aca="false">a_CO2*Tabele!B27+a_H2O*Tabele!C27+a_O2*Tabele!D27+a_N2*Tabele!E27</f>
        <v>16526.853036861</v>
      </c>
      <c r="D27" s="18" t="n">
        <f aca="false">y_CO2*Tabele!B27+y_H2O*Tabele!C27+y_O2*Tabele!D27+y_N2*Tabele!E27</f>
        <v>19139.2349008961</v>
      </c>
      <c r="E27" s="18" t="n">
        <f aca="false">y_CO2*Tabele!F27+y_H2O*Tabele!G27+y_O2*Tabele!H27+y_N2*Tabele!I27</f>
        <v>25401.8035049061</v>
      </c>
      <c r="F27" s="18" t="n">
        <f aca="false">z_CO2*Tabele!F27+z_H2O*Tabele!G27+z_O2*Tabele!H27+z_N2*Tabele!I27</f>
        <v>25401.8035049061</v>
      </c>
      <c r="G27" s="18" t="n">
        <f aca="false">z_CO2*Tabele!B27+z_H2O*Tabele!C27+z_O2*Tabele!D27+z_N2*Tabele!E27</f>
        <v>19139.2349008961</v>
      </c>
      <c r="H27" s="24" t="n">
        <f aca="false">C27/(M_a*A27)</f>
        <v>23.034182893667</v>
      </c>
      <c r="I27" s="24" t="n">
        <f aca="false">G27/(M_z*A27)</f>
        <v>25.4100900958093</v>
      </c>
    </row>
    <row r="28" customFormat="false" ht="15" hidden="false" customHeight="false" outlineLevel="0" collapsed="false">
      <c r="A28" s="4" t="n">
        <f aca="false">Tabele!A28</f>
        <v>1350</v>
      </c>
      <c r="B28" s="18" t="n">
        <f aca="false">a_CO2*Tabele!F28+a_H2O*Tabele!G28+a_O2*Tabele!H28+a_N2*Tabele!I28</f>
        <v>23453.5107833016</v>
      </c>
      <c r="C28" s="18" t="n">
        <f aca="false">a_CO2*Tabele!B28+a_H2O*Tabele!C28+a_O2*Tabele!D28+a_N2*Tabele!E28</f>
        <v>17258.5151254069</v>
      </c>
      <c r="D28" s="18" t="n">
        <f aca="false">y_CO2*Tabele!B28+y_H2O*Tabele!C28+y_O2*Tabele!D28+y_N2*Tabele!E28</f>
        <v>20018.9968425122</v>
      </c>
      <c r="E28" s="18" t="n">
        <f aca="false">y_CO2*Tabele!F28+y_H2O*Tabele!G28+y_O2*Tabele!H28+y_N2*Tabele!I28</f>
        <v>26522.4200990911</v>
      </c>
      <c r="F28" s="18" t="n">
        <f aca="false">z_CO2*Tabele!F28+z_H2O*Tabele!G28+z_O2*Tabele!H28+z_N2*Tabele!I28</f>
        <v>26522.4200990911</v>
      </c>
      <c r="G28" s="18" t="n">
        <f aca="false">z_CO2*Tabele!B28+z_H2O*Tabele!C28+z_O2*Tabele!D28+z_N2*Tabele!E28</f>
        <v>20018.9968425122</v>
      </c>
      <c r="H28" s="24" t="n">
        <f aca="false">C28/(M_a*A28)</f>
        <v>23.1630453236773</v>
      </c>
      <c r="I28" s="24" t="n">
        <f aca="false">G28/(M_z*A28)</f>
        <v>25.5937266442249</v>
      </c>
    </row>
    <row r="29" customFormat="false" ht="15" hidden="false" customHeight="false" outlineLevel="0" collapsed="false">
      <c r="A29" s="4" t="n">
        <f aca="false">Tabele!A29</f>
        <v>1400</v>
      </c>
      <c r="B29" s="18" t="n">
        <f aca="false">a_CO2*Tabele!F29+a_H2O*Tabele!G29+a_O2*Tabele!H29+a_N2*Tabele!I29</f>
        <v>24419.6202205339</v>
      </c>
      <c r="C29" s="18" t="n">
        <f aca="false">a_CO2*Tabele!B29+a_H2O*Tabele!C29+a_O2*Tabele!D29+a_N2*Tabele!E29</f>
        <v>17995.1816096316</v>
      </c>
      <c r="D29" s="18" t="n">
        <f aca="false">y_CO2*Tabele!B29+y_H2O*Tabele!C29+y_O2*Tabele!D29+y_N2*Tabele!E29</f>
        <v>20906.1782346316</v>
      </c>
      <c r="E29" s="18" t="n">
        <f aca="false">y_CO2*Tabele!F29+y_H2O*Tabele!G29+y_O2*Tabele!H29+y_N2*Tabele!I29</f>
        <v>27650.4561437795</v>
      </c>
      <c r="F29" s="18" t="n">
        <f aca="false">z_CO2*Tabele!F29+z_H2O*Tabele!G29+z_O2*Tabele!H29+z_N2*Tabele!I29</f>
        <v>27650.4561437795</v>
      </c>
      <c r="G29" s="18" t="n">
        <f aca="false">z_CO2*Tabele!B29+z_H2O*Tabele!C29+z_O2*Tabele!D29+z_N2*Tabele!E29</f>
        <v>20906.1782346316</v>
      </c>
      <c r="H29" s="24" t="n">
        <f aca="false">C29/(M_a*A29)</f>
        <v>23.2891799320892</v>
      </c>
      <c r="I29" s="24" t="n">
        <f aca="false">G29/(M_z*A29)</f>
        <v>25.7733930859563</v>
      </c>
    </row>
    <row r="30" customFormat="false" ht="15" hidden="false" customHeight="false" outlineLevel="0" collapsed="false">
      <c r="A30" s="4" t="n">
        <f aca="false">Tabele!A30</f>
        <v>1450</v>
      </c>
      <c r="B30" s="18" t="n">
        <f aca="false">a_CO2*Tabele!F30+a_H2O*Tabele!G30+a_O2*Tabele!H30+a_N2*Tabele!I30</f>
        <v>25390.4977495669</v>
      </c>
      <c r="C30" s="18" t="n">
        <f aca="false">a_CO2*Tabele!B30+a_H2O*Tabele!C30+a_O2*Tabele!D30+a_N2*Tabele!E30</f>
        <v>18736.583268419</v>
      </c>
      <c r="D30" s="18" t="n">
        <f aca="false">y_CO2*Tabele!B30+y_H2O*Tabele!C30+y_O2*Tabele!D30+y_N2*Tabele!E30</f>
        <v>21800.363264033</v>
      </c>
      <c r="E30" s="18" t="n">
        <f aca="false">y_CO2*Tabele!F30+y_H2O*Tabele!G30+y_O2*Tabele!H30+y_N2*Tabele!I30</f>
        <v>28785.546234216</v>
      </c>
      <c r="F30" s="18" t="n">
        <f aca="false">z_CO2*Tabele!F30+z_H2O*Tabele!G30+z_O2*Tabele!H30+z_N2*Tabele!I30</f>
        <v>28785.546234216</v>
      </c>
      <c r="G30" s="18" t="n">
        <f aca="false">z_CO2*Tabele!B30+z_H2O*Tabele!C30+z_O2*Tabele!D30+z_N2*Tabele!E30</f>
        <v>21800.363264033</v>
      </c>
      <c r="H30" s="24" t="n">
        <f aca="false">C30/(M_a*A30)</f>
        <v>23.4125324987232</v>
      </c>
      <c r="I30" s="24" t="n">
        <f aca="false">G30/(M_z*A30)</f>
        <v>25.9490051785922</v>
      </c>
    </row>
    <row r="31" customFormat="false" ht="15" hidden="false" customHeight="false" outlineLevel="0" collapsed="false">
      <c r="A31" s="4" t="n">
        <f aca="false">Tabele!A31</f>
        <v>1500</v>
      </c>
      <c r="B31" s="18" t="n">
        <f aca="false">a_CO2*Tabele!F31+a_H2O*Tabele!G31+a_O2*Tabele!H31+a_N2*Tabele!I31</f>
        <v>26365.8413466528</v>
      </c>
      <c r="C31" s="18" t="n">
        <f aca="false">a_CO2*Tabele!B31+a_H2O*Tabele!C31+a_O2*Tabele!D31+a_N2*Tabele!E31</f>
        <v>19482.4948538319</v>
      </c>
      <c r="D31" s="18" t="n">
        <f aca="false">y_CO2*Tabele!B31+y_H2O*Tabele!C31+y_O2*Tabele!D31+y_N2*Tabele!E31</f>
        <v>22701.2370665512</v>
      </c>
      <c r="E31" s="18" t="n">
        <f aca="false">y_CO2*Tabele!F31+y_H2O*Tabele!G31+y_O2*Tabele!H31+y_N2*Tabele!I31</f>
        <v>29927.2745571791</v>
      </c>
      <c r="F31" s="18" t="n">
        <f aca="false">z_CO2*Tabele!F31+z_H2O*Tabele!G31+z_O2*Tabele!H31+z_N2*Tabele!I31</f>
        <v>29927.2745571791</v>
      </c>
      <c r="G31" s="18" t="n">
        <f aca="false">z_CO2*Tabele!B31+z_H2O*Tabele!C31+z_O2*Tabele!D31+z_N2*Tabele!E31</f>
        <v>22701.2370665512</v>
      </c>
      <c r="H31" s="24" t="n">
        <f aca="false">C31/(M_a*A31)</f>
        <v>23.5331091484199</v>
      </c>
      <c r="I31" s="24" t="n">
        <f aca="false">G31/(M_z*A31)</f>
        <v>26.1206060665291</v>
      </c>
    </row>
    <row r="32" customFormat="false" ht="15" hidden="false" customHeight="false" outlineLevel="0" collapsed="false">
      <c r="A32" s="4" t="n">
        <f aca="false">Tabele!A32</f>
        <v>1550</v>
      </c>
      <c r="B32" s="18" t="n">
        <f aca="false">a_CO2*Tabele!F32+a_H2O*Tabele!G32+a_O2*Tabele!H32+a_N2*Tabele!I32</f>
        <v>27345.48135453</v>
      </c>
      <c r="C32" s="18" t="n">
        <f aca="false">a_CO2*Tabele!B32+a_H2O*Tabele!C32+a_O2*Tabele!D32+a_N2*Tabele!E32</f>
        <v>20232.6589914635</v>
      </c>
      <c r="D32" s="18" t="n">
        <f aca="false">y_CO2*Tabele!B32+y_H2O*Tabele!C32+y_O2*Tabele!D32+y_N2*Tabele!E32</f>
        <v>23608.4490353231</v>
      </c>
      <c r="E32" s="18" t="n">
        <f aca="false">y_CO2*Tabele!F32+y_H2O*Tabele!G32+y_O2*Tabele!H32+y_N2*Tabele!I32</f>
        <v>31075.3915869861</v>
      </c>
      <c r="F32" s="18" t="n">
        <f aca="false">z_CO2*Tabele!F32+z_H2O*Tabele!G32+z_O2*Tabele!H32+z_N2*Tabele!I32</f>
        <v>31075.3915869861</v>
      </c>
      <c r="G32" s="18" t="n">
        <f aca="false">z_CO2*Tabele!B32+z_H2O*Tabele!C32+z_O2*Tabele!D32+z_N2*Tabele!E32</f>
        <v>23608.4490353231</v>
      </c>
      <c r="H32" s="24" t="n">
        <f aca="false">C32/(M_a*A32)</f>
        <v>23.6508776616223</v>
      </c>
      <c r="I32" s="24" t="n">
        <f aca="false">G32/(M_z*A32)</f>
        <v>26.2881935273698</v>
      </c>
    </row>
    <row r="33" customFormat="false" ht="15" hidden="false" customHeight="false" outlineLevel="0" collapsed="false">
      <c r="A33" s="4" t="n">
        <f aca="false">Tabele!A33</f>
        <v>1600</v>
      </c>
      <c r="B33" s="18" t="n">
        <f aca="false">a_CO2*Tabele!F33+a_H2O*Tabele!G33+a_O2*Tabele!H33+a_N2*Tabele!I33</f>
        <v>28329.1818753906</v>
      </c>
      <c r="C33" s="18" t="n">
        <f aca="false">a_CO2*Tabele!B33+a_H2O*Tabele!C33+a_O2*Tabele!D33+a_N2*Tabele!E33</f>
        <v>20986.9274935271</v>
      </c>
      <c r="D33" s="18" t="n">
        <f aca="false">y_CO2*Tabele!B33+y_H2O*Tabele!C33+y_O2*Tabele!D33+y_N2*Tabele!E33</f>
        <v>24521.7422457201</v>
      </c>
      <c r="E33" s="18" t="n">
        <f aca="false">y_CO2*Tabele!F33+y_H2O*Tabele!G33+y_O2*Tabele!H33+y_N2*Tabele!I33</f>
        <v>32229.539449952</v>
      </c>
      <c r="F33" s="18" t="n">
        <f aca="false">z_CO2*Tabele!F33+z_H2O*Tabele!G33+z_O2*Tabele!H33+z_N2*Tabele!I33</f>
        <v>32229.539449952</v>
      </c>
      <c r="G33" s="18" t="n">
        <f aca="false">z_CO2*Tabele!B33+z_H2O*Tabele!C33+z_O2*Tabele!D33+z_N2*Tabele!E33</f>
        <v>24521.7422457201</v>
      </c>
      <c r="H33" s="24" t="n">
        <f aca="false">C33/(M_a*A33)</f>
        <v>23.765933490899</v>
      </c>
      <c r="I33" s="24" t="n">
        <f aca="false">G33/(M_z*A33)</f>
        <v>26.4518666725486</v>
      </c>
    </row>
    <row r="34" customFormat="false" ht="15" hidden="false" customHeight="false" outlineLevel="0" collapsed="false">
      <c r="A34" s="4" t="n">
        <f aca="false">Tabele!A34</f>
        <v>1650</v>
      </c>
      <c r="B34" s="18" t="n">
        <f aca="false">a_CO2*Tabele!F34+a_H2O*Tabele!G34+a_O2*Tabele!H34+a_N2*Tabele!I34</f>
        <v>29316.7403204868</v>
      </c>
      <c r="C34" s="18" t="n">
        <f aca="false">a_CO2*Tabele!B34+a_H2O*Tabele!C34+a_O2*Tabele!D34+a_N2*Tabele!E34</f>
        <v>21745.053100562</v>
      </c>
      <c r="D34" s="18" t="n">
        <f aca="false">y_CO2*Tabele!B34+y_H2O*Tabele!C34+y_O2*Tabele!D34+y_N2*Tabele!E34</f>
        <v>25440.7508966146</v>
      </c>
      <c r="E34" s="18" t="n">
        <f aca="false">y_CO2*Tabele!F34+y_H2O*Tabele!G34+y_O2*Tabele!H34+y_N2*Tabele!I34</f>
        <v>33389.4179476798</v>
      </c>
      <c r="F34" s="18" t="n">
        <f aca="false">z_CO2*Tabele!F34+z_H2O*Tabele!G34+z_O2*Tabele!H34+z_N2*Tabele!I34</f>
        <v>33389.4179476798</v>
      </c>
      <c r="G34" s="18" t="n">
        <f aca="false">z_CO2*Tabele!B34+z_H2O*Tabele!C34+z_O2*Tabele!D34+z_N2*Tabele!E34</f>
        <v>25440.7508966146</v>
      </c>
      <c r="H34" s="24" t="n">
        <f aca="false">C34/(M_a*A34)</f>
        <v>23.8782517281644</v>
      </c>
      <c r="I34" s="24" t="n">
        <f aca="false">G34/(M_z*A34)</f>
        <v>26.6115987127217</v>
      </c>
    </row>
    <row r="35" customFormat="false" ht="15" hidden="false" customHeight="false" outlineLevel="0" collapsed="false">
      <c r="A35" s="4" t="n">
        <f aca="false">Tabele!A35</f>
        <v>1700</v>
      </c>
      <c r="B35" s="18" t="n">
        <f aca="false">a_CO2*Tabele!F35+a_H2O*Tabele!G35+a_O2*Tabele!H35+a_N2*Tabele!I35</f>
        <v>30307.9979596435</v>
      </c>
      <c r="C35" s="18" t="n">
        <f aca="false">a_CO2*Tabele!B35+a_H2O*Tabele!C35+a_O2*Tabele!D35+a_N2*Tabele!E35</f>
        <v>22506.8787209217</v>
      </c>
      <c r="D35" s="18" t="n">
        <f aca="false">y_CO2*Tabele!B35+y_H2O*Tabele!C35+y_O2*Tabele!D35+y_N2*Tabele!E35</f>
        <v>26365.2557187287</v>
      </c>
      <c r="E35" s="18" t="n">
        <f aca="false">y_CO2*Tabele!F35+y_H2O*Tabele!G35+y_O2*Tabele!H35+y_N2*Tabele!I35</f>
        <v>34554.7774223628</v>
      </c>
      <c r="F35" s="18" t="n">
        <f aca="false">z_CO2*Tabele!F35+z_H2O*Tabele!G35+z_O2*Tabele!H35+z_N2*Tabele!I35</f>
        <v>34554.7774223628</v>
      </c>
      <c r="G35" s="18" t="n">
        <f aca="false">z_CO2*Tabele!B35+z_H2O*Tabele!C35+z_O2*Tabele!D35+z_N2*Tabele!E35</f>
        <v>26365.2557187287</v>
      </c>
      <c r="H35" s="24" t="n">
        <f aca="false">C35/(M_a*A35)</f>
        <v>23.9879064968534</v>
      </c>
      <c r="I35" s="24" t="n">
        <f aca="false">G35/(M_z*A35)</f>
        <v>26.767514777743</v>
      </c>
    </row>
    <row r="36" customFormat="false" ht="15" hidden="false" customHeight="false" outlineLevel="0" collapsed="false">
      <c r="A36" s="4" t="n">
        <f aca="false">Tabele!A36</f>
        <v>1750</v>
      </c>
      <c r="B36" s="18" t="n">
        <f aca="false">a_CO2*Tabele!F36+a_H2O*Tabele!G36+a_O2*Tabele!H36+a_N2*Tabele!I36</f>
        <v>31302.7635586418</v>
      </c>
      <c r="C36" s="18" t="n">
        <f aca="false">a_CO2*Tabele!B36+a_H2O*Tabele!C36+a_O2*Tabele!D36+a_N2*Tabele!E36</f>
        <v>23272.2013669124</v>
      </c>
      <c r="D36" s="18" t="n">
        <f aca="false">y_CO2*Tabele!B36+y_H2O*Tabele!C36+y_O2*Tabele!D36+y_N2*Tabele!E36</f>
        <v>27294.9491147195</v>
      </c>
      <c r="E36" s="18" t="n">
        <f aca="false">y_CO2*Tabele!F36+y_H2O*Tabele!G36+y_O2*Tabele!H36+y_N2*Tabele!I36</f>
        <v>35725.3254709225</v>
      </c>
      <c r="F36" s="18" t="n">
        <f aca="false">z_CO2*Tabele!F36+z_H2O*Tabele!G36+z_O2*Tabele!H36+z_N2*Tabele!I36</f>
        <v>35725.3254709225</v>
      </c>
      <c r="G36" s="18" t="n">
        <f aca="false">z_CO2*Tabele!B36+z_H2O*Tabele!C36+z_O2*Tabele!D36+z_N2*Tabele!E36</f>
        <v>27294.9491147195</v>
      </c>
      <c r="H36" s="24" t="n">
        <f aca="false">C36/(M_a*A36)</f>
        <v>24.0949159305953</v>
      </c>
      <c r="I36" s="24" t="n">
        <f aca="false">G36/(M_z*A36)</f>
        <v>26.9196385833734</v>
      </c>
    </row>
    <row r="37" customFormat="false" ht="15" hidden="false" customHeight="false" outlineLevel="0" collapsed="false">
      <c r="A37" s="4" t="n">
        <f aca="false">Tabele!A37</f>
        <v>1800</v>
      </c>
      <c r="B37" s="18" t="n">
        <f aca="false">a_CO2*Tabele!F37+a_H2O*Tabele!G37+a_O2*Tabele!H37+a_N2*Tabele!I37</f>
        <v>32300.835340874</v>
      </c>
      <c r="C37" s="18" t="n">
        <f aca="false">a_CO2*Tabele!B37+a_H2O*Tabele!C37+a_O2*Tabele!D37+a_N2*Tabele!E37</f>
        <v>24040.8411303477</v>
      </c>
      <c r="D37" s="18" t="n">
        <f aca="false">y_CO2*Tabele!B37+y_H2O*Tabele!C37+y_O2*Tabele!D37+y_N2*Tabele!E37</f>
        <v>28229.5459483302</v>
      </c>
      <c r="E37" s="18" t="n">
        <f aca="false">y_CO2*Tabele!F37+y_H2O*Tabele!G37+y_O2*Tabele!H37+y_N2*Tabele!I37</f>
        <v>36900.7769571021</v>
      </c>
      <c r="F37" s="18" t="n">
        <f aca="false">z_CO2*Tabele!F37+z_H2O*Tabele!G37+z_O2*Tabele!H37+z_N2*Tabele!I37</f>
        <v>36900.7769571021</v>
      </c>
      <c r="G37" s="18" t="n">
        <f aca="false">z_CO2*Tabele!B37+z_H2O*Tabele!C37+z_O2*Tabele!D37+z_N2*Tabele!E37</f>
        <v>28229.5459483302</v>
      </c>
      <c r="H37" s="24" t="n">
        <f aca="false">C37/(M_a*A37)</f>
        <v>24.1993193798201</v>
      </c>
      <c r="I37" s="24" t="n">
        <f aca="false">G37/(M_z*A37)</f>
        <v>27.0680127471918</v>
      </c>
    </row>
    <row r="38" customFormat="false" ht="15" hidden="false" customHeight="false" outlineLevel="0" collapsed="false">
      <c r="A38" s="4" t="n">
        <f aca="false">Tabele!A38</f>
        <v>1850</v>
      </c>
      <c r="B38" s="18" t="n">
        <f aca="false">a_CO2*Tabele!F38+a_H2O*Tabele!G38+a_O2*Tabele!H38+a_N2*Tabele!I38</f>
        <v>33302.1101739648</v>
      </c>
      <c r="C38" s="18" t="n">
        <f aca="false">a_CO2*Tabele!B38+a_H2O*Tabele!C38+a_O2*Tabele!D38+a_N2*Tabele!E38</f>
        <v>24812.6400931928</v>
      </c>
      <c r="D38" s="18" t="n">
        <f aca="false">y_CO2*Tabele!B38+y_H2O*Tabele!C38+y_O2*Tabele!D38+y_N2*Tabele!E38</f>
        <v>29168.8116238945</v>
      </c>
      <c r="E38" s="18" t="n">
        <f aca="false">y_CO2*Tabele!F38+y_H2O*Tabele!G38+y_O2*Tabele!H38+y_N2*Tabele!I38</f>
        <v>38080.9476937016</v>
      </c>
      <c r="F38" s="18" t="n">
        <f aca="false">z_CO2*Tabele!F38+z_H2O*Tabele!G38+z_O2*Tabele!H38+z_N2*Tabele!I38</f>
        <v>38080.9476937016</v>
      </c>
      <c r="G38" s="18" t="n">
        <f aca="false">z_CO2*Tabele!B38+z_H2O*Tabele!C38+z_O2*Tabele!D38+z_N2*Tabele!E38</f>
        <v>29168.8116238945</v>
      </c>
      <c r="H38" s="24" t="n">
        <f aca="false">C38/(M_a*A38)</f>
        <v>24.3011734777228</v>
      </c>
      <c r="I38" s="24" t="n">
        <f aca="false">G38/(M_z*A38)</f>
        <v>27.2127224307596</v>
      </c>
    </row>
    <row r="39" customFormat="false" ht="15" hidden="false" customHeight="false" outlineLevel="0" collapsed="false">
      <c r="A39" s="4" t="n">
        <f aca="false">Tabele!A39</f>
        <v>1900</v>
      </c>
      <c r="B39" s="18" t="n">
        <f aca="false">a_CO2*Tabele!F39+a_H2O*Tabele!G39+a_O2*Tabele!H39+a_N2*Tabele!I39</f>
        <v>34306.3972155169</v>
      </c>
      <c r="C39" s="18" t="n">
        <f aca="false">a_CO2*Tabele!B39+a_H2O*Tabele!C39+a_O2*Tabele!D39+a_N2*Tabele!E39</f>
        <v>25587.4947098778</v>
      </c>
      <c r="D39" s="18" t="n">
        <f aca="false">y_CO2*Tabele!B39+y_H2O*Tabele!C39+y_O2*Tabele!D39+y_N2*Tabele!E39</f>
        <v>30112.5542910182</v>
      </c>
      <c r="E39" s="18" t="n">
        <f aca="false">y_CO2*Tabele!F39+y_H2O*Tabele!G39+y_O2*Tabele!H39+y_N2*Tabele!I39</f>
        <v>39265.5525444643</v>
      </c>
      <c r="F39" s="18" t="n">
        <f aca="false">z_CO2*Tabele!F39+z_H2O*Tabele!G39+z_O2*Tabele!H39+z_N2*Tabele!I39</f>
        <v>39265.5525444643</v>
      </c>
      <c r="G39" s="18" t="n">
        <f aca="false">z_CO2*Tabele!B39+z_H2O*Tabele!C39+z_O2*Tabele!D39+z_N2*Tabele!E39</f>
        <v>30112.5542910182</v>
      </c>
      <c r="H39" s="24" t="n">
        <f aca="false">C39/(M_a*A39)</f>
        <v>24.4005807464267</v>
      </c>
      <c r="I39" s="24" t="n">
        <f aca="false">G39/(M_z*A39)</f>
        <v>27.3538826605552</v>
      </c>
    </row>
    <row r="40" customFormat="false" ht="15" hidden="false" customHeight="false" outlineLevel="0" collapsed="false">
      <c r="A40" s="4" t="n">
        <f aca="false">Tabele!A40</f>
        <v>1950</v>
      </c>
      <c r="B40" s="18" t="n">
        <f aca="false">a_CO2*Tabele!F40+a_H2O*Tabele!G40+a_O2*Tabele!H40+a_N2*Tabele!I40</f>
        <v>35313.5182029969</v>
      </c>
      <c r="C40" s="18" t="n">
        <f aca="false">a_CO2*Tabele!B40+a_H2O*Tabele!C40+a_O2*Tabele!D40+a_N2*Tabele!E40</f>
        <v>26365.1727443503</v>
      </c>
      <c r="D40" s="18" t="n">
        <f aca="false">y_CO2*Tabele!B40+y_H2O*Tabele!C40+y_O2*Tabele!D40+y_N2*Tabele!E40</f>
        <v>31060.4839877713</v>
      </c>
      <c r="E40" s="18" t="n">
        <f aca="false">y_CO2*Tabele!F40+y_H2O*Tabele!G40+y_O2*Tabele!H40+y_N2*Tabele!I40</f>
        <v>40454.3368937864</v>
      </c>
      <c r="F40" s="18" t="n">
        <f aca="false">z_CO2*Tabele!F40+z_H2O*Tabele!G40+z_O2*Tabele!H40+z_N2*Tabele!I40</f>
        <v>40454.3368937864</v>
      </c>
      <c r="G40" s="18" t="n">
        <f aca="false">z_CO2*Tabele!B40+z_H2O*Tabele!C40+z_O2*Tabele!D40+z_N2*Tabele!E40</f>
        <v>31060.4839877713</v>
      </c>
      <c r="H40" s="24" t="n">
        <f aca="false">C40/(M_a*A40)</f>
        <v>24.497513618674</v>
      </c>
      <c r="I40" s="24" t="n">
        <f aca="false">G40/(M_z*A40)</f>
        <v>27.4915098273428</v>
      </c>
    </row>
    <row r="41" customFormat="false" ht="15" hidden="false" customHeight="false" outlineLevel="0" collapsed="false">
      <c r="A41" s="4" t="n">
        <f aca="false">Tabele!A41</f>
        <v>2000</v>
      </c>
      <c r="B41" s="18" t="n">
        <f aca="false">a_CO2*Tabele!F41+a_H2O*Tabele!G41+a_O2*Tabele!H41+a_N2*Tabele!I41</f>
        <v>36323.4130219653</v>
      </c>
      <c r="C41" s="18" t="n">
        <f aca="false">a_CO2*Tabele!B41+a_H2O*Tabele!C41+a_O2*Tabele!D41+a_N2*Tabele!E41</f>
        <v>27145.6347252573</v>
      </c>
      <c r="D41" s="18" t="n">
        <f aca="false">y_CO2*Tabele!B41+y_H2O*Tabele!C41+y_O2*Tabele!D41+y_N2*Tabele!E41</f>
        <v>32012.4287515731</v>
      </c>
      <c r="E41" s="18" t="n">
        <f aca="false">y_CO2*Tabele!F41+y_H2O*Tabele!G41+y_O2*Tabele!H41+y_N2*Tabele!I41</f>
        <v>41647.1515044214</v>
      </c>
      <c r="F41" s="18" t="n">
        <f aca="false">z_CO2*Tabele!F41+z_H2O*Tabele!G41+z_O2*Tabele!H41+z_N2*Tabele!I41</f>
        <v>41647.1515044214</v>
      </c>
      <c r="G41" s="18" t="n">
        <f aca="false">z_CO2*Tabele!B41+z_H2O*Tabele!C41+z_O2*Tabele!D41+z_N2*Tabele!E41</f>
        <v>32012.4287515731</v>
      </c>
      <c r="H41" s="24" t="n">
        <f aca="false">C41/(M_a*A41)</f>
        <v>24.5921219158043</v>
      </c>
      <c r="I41" s="24" t="n">
        <f aca="false">G41/(M_z*A41)</f>
        <v>27.6257205125421</v>
      </c>
    </row>
    <row r="42" customFormat="false" ht="15" hidden="false" customHeight="false" outlineLevel="0" collapsed="false">
      <c r="A42" s="4" t="n">
        <f aca="false">Tabele!A42</f>
        <v>2050</v>
      </c>
      <c r="B42" s="18" t="n">
        <f aca="false">a_CO2*Tabele!F42+a_H2O*Tabele!G42+a_O2*Tabele!H42+a_N2*Tabele!I42</f>
        <v>37335.9460217544</v>
      </c>
      <c r="C42" s="18" t="n">
        <f aca="false">a_CO2*Tabele!B42+a_H2O*Tabele!C42+a_O2*Tabele!D42+a_N2*Tabele!E42</f>
        <v>27928.6821530488</v>
      </c>
      <c r="D42" s="18" t="n">
        <f aca="false">y_CO2*Tabele!B42+y_H2O*Tabele!C42+y_O2*Tabele!D42+y_N2*Tabele!E42</f>
        <v>32968.1642232243</v>
      </c>
      <c r="E42" s="18" t="n">
        <f aca="false">y_CO2*Tabele!F42+y_H2O*Tabele!G42+y_O2*Tabele!H42+y_N2*Tabele!I42</f>
        <v>42843.7691796492</v>
      </c>
      <c r="F42" s="18" t="n">
        <f aca="false">z_CO2*Tabele!F42+z_H2O*Tabele!G42+z_O2*Tabele!H42+z_N2*Tabele!I42</f>
        <v>42843.7691796492</v>
      </c>
      <c r="G42" s="18" t="n">
        <f aca="false">z_CO2*Tabele!B42+z_H2O*Tabele!C42+z_O2*Tabele!D42+z_N2*Tabele!E42</f>
        <v>32968.1642232243</v>
      </c>
      <c r="H42" s="24" t="n">
        <f aca="false">C42/(M_a*A42)</f>
        <v>24.6844002874496</v>
      </c>
      <c r="I42" s="24" t="n">
        <f aca="false">G42/(M_z*A42)</f>
        <v>27.7565758099844</v>
      </c>
    </row>
    <row r="43" customFormat="false" ht="15" hidden="false" customHeight="false" outlineLevel="0" collapsed="false">
      <c r="A43" s="4" t="n">
        <f aca="false">Tabele!A43</f>
        <v>2100</v>
      </c>
      <c r="B43" s="18" t="n">
        <f aca="false">a_CO2*Tabele!F43+a_H2O*Tabele!G43+a_O2*Tabele!H43+a_N2*Tabele!I43</f>
        <v>38350.9187028142</v>
      </c>
      <c r="C43" s="18" t="n">
        <f aca="false">a_CO2*Tabele!B43+a_H2O*Tabele!C43+a_O2*Tabele!D43+a_N2*Tabele!E43</f>
        <v>28714.2654343018</v>
      </c>
      <c r="D43" s="18" t="n">
        <f aca="false">y_CO2*Tabele!B43+y_H2O*Tabele!C43+y_O2*Tabele!D43+y_N2*Tabele!E43</f>
        <v>33927.5335022842</v>
      </c>
      <c r="E43" s="18" t="n">
        <f aca="false">y_CO2*Tabele!F43+y_H2O*Tabele!G43+y_O2*Tabele!H43+y_N2*Tabele!I43</f>
        <v>44043.9655602704</v>
      </c>
      <c r="F43" s="18" t="n">
        <f aca="false">z_CO2*Tabele!F43+z_H2O*Tabele!G43+z_O2*Tabele!H43+z_N2*Tabele!I43</f>
        <v>44043.9655602704</v>
      </c>
      <c r="G43" s="18" t="n">
        <f aca="false">z_CO2*Tabele!B43+z_H2O*Tabele!C43+z_O2*Tabele!D43+z_N2*Tabele!E43</f>
        <v>33927.5335022842</v>
      </c>
      <c r="H43" s="24" t="n">
        <f aca="false">C43/(M_a*A43)</f>
        <v>24.7744723679919</v>
      </c>
      <c r="I43" s="24" t="n">
        <f aca="false">G43/(M_z*A43)</f>
        <v>27.8841864376981</v>
      </c>
    </row>
    <row r="44" customFormat="false" ht="15" hidden="false" customHeight="false" outlineLevel="0" collapsed="false">
      <c r="A44" s="4" t="n">
        <f aca="false">Tabele!A44</f>
        <v>2150</v>
      </c>
      <c r="B44" s="18" t="n">
        <f aca="false">a_CO2*Tabele!F44+a_H2O*Tabele!G44+a_O2*Tabele!H44+a_N2*Tabele!I44</f>
        <v>39368.3362502568</v>
      </c>
      <c r="C44" s="18" t="n">
        <f aca="false">a_CO2*Tabele!B44+a_H2O*Tabele!C44+a_O2*Tabele!D44+a_N2*Tabele!E44</f>
        <v>29502.2079378871</v>
      </c>
      <c r="D44" s="18" t="n">
        <f aca="false">y_CO2*Tabele!B44+y_H2O*Tabele!C44+y_O2*Tabele!D44+y_N2*Tabele!E44</f>
        <v>34890.3122295537</v>
      </c>
      <c r="E44" s="18" t="n">
        <f aca="false">y_CO2*Tabele!F44+y_H2O*Tabele!G44+y_O2*Tabele!H44+y_N2*Tabele!I44</f>
        <v>45247.6340221866</v>
      </c>
      <c r="F44" s="18" t="n">
        <f aca="false">z_CO2*Tabele!F44+z_H2O*Tabele!G44+z_O2*Tabele!H44+z_N2*Tabele!I44</f>
        <v>45247.6340221866</v>
      </c>
      <c r="G44" s="18" t="n">
        <f aca="false">z_CO2*Tabele!B44+z_H2O*Tabele!C44+z_O2*Tabele!D44+z_N2*Tabele!E44</f>
        <v>34890.3122295537</v>
      </c>
      <c r="H44" s="24" t="n">
        <f aca="false">C44/(M_a*A44)</f>
        <v>24.86234323268</v>
      </c>
      <c r="I44" s="24" t="n">
        <f aca="false">G44/(M_z*A44)</f>
        <v>28.0085986610672</v>
      </c>
    </row>
    <row r="45" customFormat="false" ht="15" hidden="false" customHeight="false" outlineLevel="0" collapsed="false">
      <c r="A45" s="4" t="n">
        <f aca="false">Tabele!A45</f>
        <v>2200</v>
      </c>
      <c r="B45" s="18" t="n">
        <f aca="false">a_CO2*Tabele!F45+a_H2O*Tabele!G45+a_O2*Tabele!H45+a_N2*Tabele!I45</f>
        <v>40387.9777825583</v>
      </c>
      <c r="C45" s="18" t="n">
        <f aca="false">a_CO2*Tabele!B45+a_H2O*Tabele!C45+a_O2*Tabele!D45+a_N2*Tabele!E45</f>
        <v>30292.4170381974</v>
      </c>
      <c r="D45" s="18" t="n">
        <f aca="false">y_CO2*Tabele!B45+y_H2O*Tabele!C45+y_O2*Tabele!D45+y_N2*Tabele!E45</f>
        <v>35856.3082903903</v>
      </c>
      <c r="E45" s="18" t="n">
        <f aca="false">y_CO2*Tabele!F45+y_H2O*Tabele!G45+y_O2*Tabele!H45+y_N2*Tabele!I45</f>
        <v>46454.4923987863</v>
      </c>
      <c r="F45" s="18" t="n">
        <f aca="false">z_CO2*Tabele!F45+z_H2O*Tabele!G45+z_O2*Tabele!H45+z_N2*Tabele!I45</f>
        <v>46454.4923987863</v>
      </c>
      <c r="G45" s="18" t="n">
        <f aca="false">z_CO2*Tabele!B45+z_H2O*Tabele!C45+z_O2*Tabele!D45+z_N2*Tabele!E45</f>
        <v>35856.3082903903</v>
      </c>
      <c r="H45" s="24" t="n">
        <f aca="false">C45/(M_a*A45)</f>
        <v>24.94808668025</v>
      </c>
      <c r="I45" s="24" t="n">
        <f aca="false">G45/(M_z*A45)</f>
        <v>28.1298798359313</v>
      </c>
    </row>
    <row r="46" customFormat="false" ht="15" hidden="false" customHeight="false" outlineLevel="0" collapsed="false">
      <c r="A46" s="4" t="n">
        <f aca="false">Tabele!A46</f>
        <v>2250</v>
      </c>
      <c r="B46" s="18" t="n">
        <f aca="false">a_CO2*Tabele!F46+a_H2O*Tabele!G46+a_O2*Tabele!H46+a_N2*Tabele!I46</f>
        <v>41409.8286538845</v>
      </c>
      <c r="C46" s="18" t="n">
        <f aca="false">a_CO2*Tabele!B46+a_H2O*Tabele!C46+a_O2*Tabele!D46+a_N2*Tabele!E46</f>
        <v>31084.8245504459</v>
      </c>
      <c r="D46" s="18" t="n">
        <f aca="false">y_CO2*Tabele!B46+y_H2O*Tabele!C46+y_O2*Tabele!D46+y_N2*Tabele!E46</f>
        <v>36825.4255614108</v>
      </c>
      <c r="E46" s="18" t="n">
        <f aca="false">y_CO2*Tabele!F46+y_H2O*Tabele!G46+y_O2*Tabele!H46+y_N2*Tabele!I46</f>
        <v>47664.4718534459</v>
      </c>
      <c r="F46" s="18" t="n">
        <f aca="false">z_CO2*Tabele!F46+z_H2O*Tabele!G46+z_O2*Tabele!H46+z_N2*Tabele!I46</f>
        <v>47664.4718534459</v>
      </c>
      <c r="G46" s="18" t="n">
        <f aca="false">z_CO2*Tabele!B46+z_H2O*Tabele!C46+z_O2*Tabele!D46+z_N2*Tabele!E46</f>
        <v>36825.4255614108</v>
      </c>
      <c r="H46" s="24" t="n">
        <f aca="false">C46/(M_a*A46)</f>
        <v>25.0317896310987</v>
      </c>
      <c r="I46" s="24" t="n">
        <f aca="false">G46/(M_z*A46)</f>
        <v>28.2481649642258</v>
      </c>
    </row>
    <row r="47" customFormat="false" ht="15" hidden="false" customHeight="false" outlineLevel="0" collapsed="false">
      <c r="A47" s="4" t="n">
        <f aca="false">Tabele!A47</f>
        <v>2300</v>
      </c>
      <c r="B47" s="18" t="n">
        <f aca="false">a_CO2*Tabele!F47+a_H2O*Tabele!G47+a_O2*Tabele!H47+a_N2*Tabele!I47</f>
        <v>42433.7978842808</v>
      </c>
      <c r="C47" s="18" t="n">
        <f aca="false">a_CO2*Tabele!B47+a_H2O*Tabele!C47+a_O2*Tabele!D47+a_N2*Tabele!E47</f>
        <v>31879.3292580013</v>
      </c>
      <c r="D47" s="18" t="n">
        <f aca="false">y_CO2*Tabele!B47+y_H2O*Tabele!C47+y_O2*Tabele!D47+y_N2*Tabele!E47</f>
        <v>37797.4671022996</v>
      </c>
      <c r="E47" s="18" t="n">
        <f aca="false">y_CO2*Tabele!F47+y_H2O*Tabele!G47+y_O2*Tabele!H47+y_N2*Tabele!I47</f>
        <v>48877.4107921756</v>
      </c>
      <c r="F47" s="18" t="n">
        <f aca="false">z_CO2*Tabele!F47+z_H2O*Tabele!G47+z_O2*Tabele!H47+z_N2*Tabele!I47</f>
        <v>48877.4107921756</v>
      </c>
      <c r="G47" s="18" t="n">
        <f aca="false">z_CO2*Tabele!B47+z_H2O*Tabele!C47+z_O2*Tabele!D47+z_N2*Tabele!E47</f>
        <v>37797.4671022996</v>
      </c>
      <c r="H47" s="24" t="n">
        <f aca="false">C47/(M_a*A47)</f>
        <v>25.1135054259079</v>
      </c>
      <c r="I47" s="24" t="n">
        <f aca="false">G47/(M_z*A47)</f>
        <v>28.3635016548084</v>
      </c>
    </row>
    <row r="48" customFormat="false" ht="15" hidden="false" customHeight="false" outlineLevel="0" collapsed="false">
      <c r="A48" s="4" t="n">
        <f aca="false">Tabele!A48</f>
        <v>2350</v>
      </c>
      <c r="B48" s="18" t="n">
        <f aca="false">a_CO2*Tabele!F48+a_H2O*Tabele!G48+a_O2*Tabele!H48+a_N2*Tabele!I48</f>
        <v>43459.762801889</v>
      </c>
      <c r="C48" s="18" t="n">
        <f aca="false">a_CO2*Tabele!B48+a_H2O*Tabele!C48+a_O2*Tabele!D48+a_N2*Tabele!E48</f>
        <v>32675.8508094078</v>
      </c>
      <c r="D48" s="18" t="n">
        <f aca="false">y_CO2*Tabele!B48+y_H2O*Tabele!C48+y_O2*Tabele!D48+y_N2*Tabele!E48</f>
        <v>38772.3139322148</v>
      </c>
      <c r="E48" s="18" t="n">
        <f aca="false">y_CO2*Tabele!F48+y_H2O*Tabele!G48+y_O2*Tabele!H48+y_N2*Tabele!I48</f>
        <v>50093.1199378539</v>
      </c>
      <c r="F48" s="18" t="n">
        <f aca="false">z_CO2*Tabele!F48+z_H2O*Tabele!G48+z_O2*Tabele!H48+z_N2*Tabele!I48</f>
        <v>50093.1199378539</v>
      </c>
      <c r="G48" s="18" t="n">
        <f aca="false">z_CO2*Tabele!B48+z_H2O*Tabele!C48+z_O2*Tabele!D48+z_N2*Tabele!E48</f>
        <v>38772.3139322148</v>
      </c>
      <c r="H48" s="24" t="n">
        <f aca="false">C48/(M_a*A48)</f>
        <v>25.1932989529164</v>
      </c>
      <c r="I48" s="24" t="n">
        <f aca="false">G48/(M_z*A48)</f>
        <v>28.4759907213803</v>
      </c>
    </row>
    <row r="49" customFormat="false" ht="15" hidden="false" customHeight="false" outlineLevel="0" collapsed="false">
      <c r="A49" s="4" t="n">
        <f aca="false">Tabele!A49</f>
        <v>2400</v>
      </c>
      <c r="B49" s="18" t="n">
        <f aca="false">a_CO2*Tabele!F49+a_H2O*Tabele!G49+a_O2*Tabele!H49+a_N2*Tabele!I49</f>
        <v>44487.62189149</v>
      </c>
      <c r="C49" s="18" t="n">
        <f aca="false">a_CO2*Tabele!B49+a_H2O*Tabele!C49+a_O2*Tabele!D49+a_N2*Tabele!E49</f>
        <v>33474.2778802118</v>
      </c>
      <c r="D49" s="18" t="n">
        <f aca="false">y_CO2*Tabele!B49+y_H2O*Tabele!C49+y_O2*Tabele!D49+y_N2*Tabele!E49</f>
        <v>39749.7844372293</v>
      </c>
      <c r="E49" s="18" t="n">
        <f aca="false">y_CO2*Tabele!F49+y_H2O*Tabele!G49+y_O2*Tabele!H49+y_N2*Tabele!I49</f>
        <v>51311.4450954373</v>
      </c>
      <c r="F49" s="18" t="n">
        <f aca="false">z_CO2*Tabele!F49+z_H2O*Tabele!G49+z_O2*Tabele!H49+z_N2*Tabele!I49</f>
        <v>51311.4450954373</v>
      </c>
      <c r="G49" s="18" t="n">
        <f aca="false">z_CO2*Tabele!B49+z_H2O*Tabele!C49+z_O2*Tabele!D49+z_N2*Tabele!E49</f>
        <v>39749.7844372293</v>
      </c>
      <c r="H49" s="24" t="n">
        <f aca="false">C49/(M_a*A49)</f>
        <v>25.2712063101297</v>
      </c>
      <c r="I49" s="24" t="n">
        <f aca="false">G49/(M_z*A49)</f>
        <v>28.5856795345133</v>
      </c>
    </row>
    <row r="50" customFormat="false" ht="15" hidden="false" customHeight="false" outlineLevel="0" collapsed="false">
      <c r="A50" s="4" t="n">
        <f aca="false">Tabele!A50</f>
        <v>2450</v>
      </c>
      <c r="B50" s="18" t="n">
        <f aca="false">a_CO2*Tabele!F50+a_H2O*Tabele!G50+a_O2*Tabele!H50+a_N2*Tabele!I50</f>
        <v>45517.3726810427</v>
      </c>
      <c r="C50" s="18" t="n">
        <f aca="false">a_CO2*Tabele!B50+a_H2O*Tabele!C50+a_O2*Tabele!D50+a_N2*Tabele!E50</f>
        <v>34274.5966509675</v>
      </c>
      <c r="D50" s="18" t="n">
        <f aca="false">y_CO2*Tabele!B50+y_H2O*Tabele!C50+y_O2*Tabele!D50+y_N2*Tabele!E50</f>
        <v>40729.8251071078</v>
      </c>
      <c r="E50" s="18" t="n">
        <f aca="false">y_CO2*Tabele!F50+y_H2O*Tabele!G50+y_O2*Tabele!H50+y_N2*Tabele!I50</f>
        <v>52532.3404178848</v>
      </c>
      <c r="F50" s="18" t="n">
        <f aca="false">z_CO2*Tabele!F50+z_H2O*Tabele!G50+z_O2*Tabele!H50+z_N2*Tabele!I50</f>
        <v>52532.3404178848</v>
      </c>
      <c r="G50" s="18" t="n">
        <f aca="false">z_CO2*Tabele!B50+z_H2O*Tabele!C50+z_O2*Tabele!D50+z_N2*Tabele!E50</f>
        <v>40729.8251071078</v>
      </c>
      <c r="H50" s="24" t="n">
        <f aca="false">C50/(M_a*A50)</f>
        <v>25.3473327573397</v>
      </c>
      <c r="I50" s="24" t="n">
        <f aca="false">G50/(M_z*A50)</f>
        <v>28.6927018422528</v>
      </c>
    </row>
    <row r="51" customFormat="false" ht="15" hidden="false" customHeight="false" outlineLevel="0" collapsed="false">
      <c r="A51" s="4" t="n">
        <f aca="false">Tabele!A51</f>
        <v>2500</v>
      </c>
      <c r="B51" s="18" t="n">
        <f aca="false">a_CO2*Tabele!F51+a_H2O*Tabele!G51+a_O2*Tabele!H51+a_N2*Tabele!I51</f>
        <v>46548.9359369432</v>
      </c>
      <c r="C51" s="18" t="n">
        <f aca="false">a_CO2*Tabele!B51+a_H2O*Tabele!C51+a_O2*Tabele!D51+a_N2*Tabele!E51</f>
        <v>35076.6726963417</v>
      </c>
      <c r="D51" s="18" t="n">
        <f aca="false">y_CO2*Tabele!B51+y_H2O*Tabele!C51+y_O2*Tabele!D51+y_N2*Tabele!E51</f>
        <v>41712.2314704645</v>
      </c>
      <c r="E51" s="18" t="n">
        <f aca="false">y_CO2*Tabele!F51+y_H2O*Tabele!G51+y_O2*Tabele!H51+y_N2*Tabele!I51</f>
        <v>53755.6593733467</v>
      </c>
      <c r="F51" s="18" t="n">
        <f aca="false">z_CO2*Tabele!F51+z_H2O*Tabele!G51+z_O2*Tabele!H51+z_N2*Tabele!I51</f>
        <v>53755.6593733467</v>
      </c>
      <c r="G51" s="18" t="n">
        <f aca="false">z_CO2*Tabele!B51+z_H2O*Tabele!C51+z_O2*Tabele!D51+z_N2*Tabele!E51</f>
        <v>41712.2314704645</v>
      </c>
      <c r="H51" s="24" t="n">
        <f aca="false">C51/(M_a*A51)</f>
        <v>25.4216877248877</v>
      </c>
      <c r="I51" s="24" t="n">
        <f aca="false">G51/(M_z*A51)</f>
        <v>28.7970764730155</v>
      </c>
    </row>
    <row r="52" customFormat="false" ht="15" hidden="false" customHeight="false" outlineLevel="0" collapsed="false">
      <c r="A52" s="4" t="n">
        <f aca="false">Tabele!A52</f>
        <v>2550</v>
      </c>
      <c r="B52" s="18" t="n">
        <f aca="false">a_CO2*Tabele!F52+a_H2O*Tabele!G52+a_O2*Tabele!H52+a_N2*Tabele!I52</f>
        <v>47582.1671189124</v>
      </c>
      <c r="C52" s="18" t="n">
        <f aca="false">a_CO2*Tabele!B52+a_H2O*Tabele!C52+a_O2*Tabele!D52+a_N2*Tabele!E52</f>
        <v>35880.5157038385</v>
      </c>
      <c r="D52" s="18" t="n">
        <f aca="false">y_CO2*Tabele!B52+y_H2O*Tabele!C52+y_O2*Tabele!D52+y_N2*Tabele!E52</f>
        <v>42696.9804055929</v>
      </c>
      <c r="E52" s="18" t="n">
        <f aca="false">y_CO2*Tabele!F52+y_H2O*Tabele!G52+y_O2*Tabele!H52+y_N2*Tabele!I52</f>
        <v>54981.2126847018</v>
      </c>
      <c r="F52" s="18" t="n">
        <f aca="false">z_CO2*Tabele!F52+z_H2O*Tabele!G52+z_O2*Tabele!H52+z_N2*Tabele!I52</f>
        <v>54981.2126847018</v>
      </c>
      <c r="G52" s="18" t="n">
        <f aca="false">z_CO2*Tabele!B52+z_H2O*Tabele!C52+z_O2*Tabele!D52+z_N2*Tabele!E52</f>
        <v>42696.9804055929</v>
      </c>
      <c r="H52" s="24" t="n">
        <f aca="false">C52/(M_a*A52)</f>
        <v>25.4943823007757</v>
      </c>
      <c r="I52" s="24" t="n">
        <f aca="false">G52/(M_z*A52)</f>
        <v>28.8989435228538</v>
      </c>
    </row>
    <row r="53" customFormat="false" ht="15" hidden="false" customHeight="false" outlineLevel="0" collapsed="false">
      <c r="A53" s="4" t="n">
        <f aca="false">Tabele!A53</f>
        <v>2600</v>
      </c>
      <c r="B53" s="18" t="n">
        <f aca="false">a_CO2*Tabele!F53+a_H2O*Tabele!G53+a_O2*Tabele!H53+a_N2*Tabele!I53</f>
        <v>48617.1075992336</v>
      </c>
      <c r="C53" s="18" t="n">
        <f aca="false">a_CO2*Tabele!B53+a_H2O*Tabele!C53+a_O2*Tabele!D53+a_N2*Tabele!E53</f>
        <v>36685.9803210381</v>
      </c>
      <c r="D53" s="18" t="n">
        <f aca="false">y_CO2*Tabele!B53+y_H2O*Tabele!C53+y_O2*Tabele!D53+y_N2*Tabele!E53</f>
        <v>43683.8675732311</v>
      </c>
      <c r="E53" s="18" t="n">
        <f aca="false">y_CO2*Tabele!F53+y_H2O*Tabele!G53+y_O2*Tabele!H53+y_N2*Tabele!I53</f>
        <v>56209.0047812511</v>
      </c>
      <c r="F53" s="18" t="n">
        <f aca="false">z_CO2*Tabele!F53+z_H2O*Tabele!G53+z_O2*Tabele!H53+z_N2*Tabele!I53</f>
        <v>56209.0047812511</v>
      </c>
      <c r="G53" s="18" t="n">
        <f aca="false">z_CO2*Tabele!B53+z_H2O*Tabele!C53+z_O2*Tabele!D53+z_N2*Tabele!E53</f>
        <v>43683.8675732311</v>
      </c>
      <c r="H53" s="24" t="n">
        <f aca="false">C53/(M_a*A53)</f>
        <v>25.565410984884</v>
      </c>
      <c r="I53" s="24" t="n">
        <f aca="false">G53/(M_z*A53)</f>
        <v>28.998312015002</v>
      </c>
    </row>
    <row r="54" customFormat="false" ht="15" hidden="false" customHeight="false" outlineLevel="0" collapsed="false">
      <c r="A54" s="4" t="n">
        <f aca="false">Tabele!A54</f>
        <v>2650</v>
      </c>
      <c r="B54" s="18" t="n">
        <f aca="false">a_CO2*Tabele!F54+a_H2O*Tabele!G54+a_O2*Tabele!H54+a_N2*Tabele!I54</f>
        <v>49653.6789635674</v>
      </c>
      <c r="C54" s="18" t="n">
        <f aca="false">a_CO2*Tabele!B54+a_H2O*Tabele!C54+a_O2*Tabele!D54+a_N2*Tabele!E54</f>
        <v>37493.0648809158</v>
      </c>
      <c r="D54" s="18" t="n">
        <f aca="false">y_CO2*Tabele!B54+y_H2O*Tabele!C54+y_O2*Tabele!D54+y_N2*Tabele!E54</f>
        <v>44672.8620563544</v>
      </c>
      <c r="E54" s="18" t="n">
        <f aca="false">y_CO2*Tabele!F54+y_H2O*Tabele!G54+y_O2*Tabele!H54+y_N2*Tabele!I54</f>
        <v>57438.9043254095</v>
      </c>
      <c r="F54" s="18" t="n">
        <f aca="false">z_CO2*Tabele!F54+z_H2O*Tabele!G54+z_O2*Tabele!H54+z_N2*Tabele!I54</f>
        <v>57438.9043254095</v>
      </c>
      <c r="G54" s="18" t="n">
        <f aca="false">z_CO2*Tabele!B54+z_H2O*Tabele!C54+z_O2*Tabele!D54+z_N2*Tabele!E54</f>
        <v>44672.8620563544</v>
      </c>
      <c r="H54" s="24" t="n">
        <f aca="false">C54/(M_a*A54)</f>
        <v>25.6348669331908</v>
      </c>
      <c r="I54" s="24" t="n">
        <f aca="false">G54/(M_z*A54)</f>
        <v>29.095303241087</v>
      </c>
    </row>
    <row r="55" customFormat="false" ht="15" hidden="false" customHeight="false" outlineLevel="0" collapsed="false">
      <c r="A55" s="4" t="n">
        <f aca="false">Tabele!A55</f>
        <v>2700</v>
      </c>
      <c r="B55" s="18" t="n">
        <f aca="false">a_CO2*Tabele!F55+a_H2O*Tabele!G55+a_O2*Tabele!H55+a_N2*Tabele!I55</f>
        <v>50691.7695888727</v>
      </c>
      <c r="C55" s="18" t="n">
        <f aca="false">a_CO2*Tabele!B55+a_H2O*Tabele!C55+a_O2*Tabele!D55+a_N2*Tabele!E55</f>
        <v>38301.7340155644</v>
      </c>
      <c r="D55" s="18" t="n">
        <f aca="false">y_CO2*Tabele!B55+y_H2O*Tabele!C55+y_O2*Tabele!D55+y_N2*Tabele!E55</f>
        <v>45663.8679958276</v>
      </c>
      <c r="E55" s="18" t="n">
        <f aca="false">y_CO2*Tabele!F55+y_H2O*Tabele!G55+y_O2*Tabele!H55+y_N2*Tabele!I55</f>
        <v>58670.7724485218</v>
      </c>
      <c r="F55" s="18" t="n">
        <f aca="false">z_CO2*Tabele!F55+z_H2O*Tabele!G55+z_O2*Tabele!H55+z_N2*Tabele!I55</f>
        <v>58670.7724485218</v>
      </c>
      <c r="G55" s="18" t="n">
        <f aca="false">z_CO2*Tabele!B55+z_H2O*Tabele!C55+z_O2*Tabele!D55+z_N2*Tabele!E55</f>
        <v>45663.8679958276</v>
      </c>
      <c r="H55" s="24" t="n">
        <f aca="false">C55/(M_a*A55)</f>
        <v>25.7028137858712</v>
      </c>
      <c r="I55" s="24" t="n">
        <f aca="false">G55/(M_z*A55)</f>
        <v>29.189987994836</v>
      </c>
    </row>
    <row r="56" customFormat="false" ht="15" hidden="false" customHeight="false" outlineLevel="0" collapsed="false">
      <c r="A56" s="4" t="n">
        <f aca="false">Tabele!A56</f>
        <v>2750</v>
      </c>
      <c r="B56" s="18" t="n">
        <f aca="false">a_CO2*Tabele!F56+a_H2O*Tabele!G56+a_O2*Tabele!H56+a_N2*Tabele!I56</f>
        <v>51731.3992775995</v>
      </c>
      <c r="C56" s="18" t="n">
        <f aca="false">a_CO2*Tabele!B56+a_H2O*Tabele!C56+a_O2*Tabele!D56+a_N2*Tabele!E56</f>
        <v>39111.9316854942</v>
      </c>
      <c r="D56" s="18" t="n">
        <f aca="false">y_CO2*Tabele!B56+y_H2O*Tabele!C56+y_O2*Tabele!D56+y_N2*Tabele!E56</f>
        <v>46656.8117293539</v>
      </c>
      <c r="E56" s="18" t="n">
        <f aca="false">y_CO2*Tabele!F56+y_H2O*Tabele!G56+y_O2*Tabele!H56+y_N2*Tabele!I56</f>
        <v>59904.570834617</v>
      </c>
      <c r="F56" s="18" t="n">
        <f aca="false">z_CO2*Tabele!F56+z_H2O*Tabele!G56+z_O2*Tabele!H56+z_N2*Tabele!I56</f>
        <v>59904.570834617</v>
      </c>
      <c r="G56" s="18" t="n">
        <f aca="false">z_CO2*Tabele!B56+z_H2O*Tabele!C56+z_O2*Tabele!D56+z_N2*Tabele!E56</f>
        <v>46656.8117293539</v>
      </c>
      <c r="H56" s="24" t="n">
        <f aca="false">C56/(M_a*A56)</f>
        <v>25.7692969350403</v>
      </c>
      <c r="I56" s="24" t="n">
        <f aca="false">G56/(M_z*A56)</f>
        <v>29.2824458523776</v>
      </c>
    </row>
    <row r="57" customFormat="false" ht="15" hidden="false" customHeight="false" outlineLevel="0" collapsed="false">
      <c r="A57" s="4" t="n">
        <f aca="false">Tabele!A57</f>
        <v>2800</v>
      </c>
      <c r="B57" s="18" t="n">
        <f aca="false">a_CO2*Tabele!F57+a_H2O*Tabele!G57+a_O2*Tabele!H57+a_N2*Tabele!I57</f>
        <v>52772.4681673055</v>
      </c>
      <c r="C57" s="18" t="n">
        <f aca="false">a_CO2*Tabele!B57+a_H2O*Tabele!C57+a_O2*Tabele!D57+a_N2*Tabele!E57</f>
        <v>39923.6010604472</v>
      </c>
      <c r="D57" s="18" t="n">
        <f aca="false">y_CO2*Tabele!B57+y_H2O*Tabele!C57+y_O2*Tabele!D57+y_N2*Tabele!E57</f>
        <v>47651.6049288682</v>
      </c>
      <c r="E57" s="18" t="n">
        <f aca="false">y_CO2*Tabele!F57+y_H2O*Tabele!G57+y_O2*Tabele!H57+y_N2*Tabele!I57</f>
        <v>61140.1759414283</v>
      </c>
      <c r="F57" s="18" t="n">
        <f aca="false">z_CO2*Tabele!F57+z_H2O*Tabele!G57+z_O2*Tabele!H57+z_N2*Tabele!I57</f>
        <v>61140.1759414283</v>
      </c>
      <c r="G57" s="18" t="n">
        <f aca="false">z_CO2*Tabele!B57+z_H2O*Tabele!C57+z_O2*Tabele!D57+z_N2*Tabele!E57</f>
        <v>47651.6049288682</v>
      </c>
      <c r="H57" s="24" t="n">
        <f aca="false">C57/(M_a*A57)</f>
        <v>25.8343580188167</v>
      </c>
      <c r="I57" s="24" t="n">
        <f aca="false">G57/(M_z*A57)</f>
        <v>29.3727416657618</v>
      </c>
    </row>
    <row r="58" customFormat="false" ht="15" hidden="false" customHeight="false" outlineLevel="0" collapsed="false">
      <c r="A58" s="4" t="n">
        <f aca="false">Tabele!A58</f>
        <v>2850</v>
      </c>
      <c r="B58" s="18" t="n">
        <f aca="false">a_CO2*Tabele!F58+a_H2O*Tabele!G58+a_O2*Tabele!H58+a_N2*Tabele!I58</f>
        <v>53815.0066889397</v>
      </c>
      <c r="C58" s="18" t="n">
        <f aca="false">a_CO2*Tabele!B58+a_H2O*Tabele!C58+a_O2*Tabele!D58+a_N2*Tabele!E58</f>
        <v>40736.6641250299</v>
      </c>
      <c r="D58" s="18" t="n">
        <f aca="false">y_CO2*Tabele!B58+y_H2O*Tabele!C58+y_O2*Tabele!D58+y_N2*Tabele!E58</f>
        <v>48648.1236557317</v>
      </c>
      <c r="E58" s="18" t="n">
        <f aca="false">y_CO2*Tabele!F58+y_H2O*Tabele!G58+y_O2*Tabele!H58+y_N2*Tabele!I58</f>
        <v>62377.5920661327</v>
      </c>
      <c r="F58" s="18" t="n">
        <f aca="false">z_CO2*Tabele!F58+z_H2O*Tabele!G58+z_O2*Tabele!H58+z_N2*Tabele!I58</f>
        <v>62377.5920661327</v>
      </c>
      <c r="G58" s="18" t="n">
        <f aca="false">z_CO2*Tabele!B58+z_H2O*Tabele!C58+z_O2*Tabele!D58+z_N2*Tabele!E58</f>
        <v>48648.1236557317</v>
      </c>
      <c r="H58" s="24" t="n">
        <f aca="false">C58/(M_a*A58)</f>
        <v>25.8980222850586</v>
      </c>
      <c r="I58" s="24" t="n">
        <f aca="false">G58/(M_z*A58)</f>
        <v>29.4609141705387</v>
      </c>
    </row>
    <row r="59" customFormat="false" ht="15" hidden="false" customHeight="false" outlineLevel="0" collapsed="false">
      <c r="A59" s="4" t="n">
        <f aca="false">Tabele!A59</f>
        <v>2900</v>
      </c>
      <c r="B59" s="18" t="n">
        <f aca="false">a_CO2*Tabele!F59+a_H2O*Tabele!G59+a_O2*Tabele!H59+a_N2*Tabele!I59</f>
        <v>54858.937261675</v>
      </c>
      <c r="C59" s="18" t="n">
        <f aca="false">a_CO2*Tabele!B59+a_H2O*Tabele!C59+a_O2*Tabele!D59+a_N2*Tabele!E59</f>
        <v>41551.1517447577</v>
      </c>
      <c r="D59" s="18" t="n">
        <f aca="false">y_CO2*Tabele!B59+y_H2O*Tabele!C59+y_O2*Tabele!D59+y_N2*Tabele!E59</f>
        <v>49646.3802666875</v>
      </c>
      <c r="E59" s="18" t="n">
        <f aca="false">y_CO2*Tabele!F59+y_H2O*Tabele!G59+y_O2*Tabele!H59+y_N2*Tabele!I59</f>
        <v>63616.7033296574</v>
      </c>
      <c r="F59" s="18" t="n">
        <f aca="false">z_CO2*Tabele!F59+z_H2O*Tabele!G59+z_O2*Tabele!H59+z_N2*Tabele!I59</f>
        <v>63616.7033296574</v>
      </c>
      <c r="G59" s="18" t="n">
        <f aca="false">z_CO2*Tabele!B59+z_H2O*Tabele!C59+z_O2*Tabele!D59+z_N2*Tabele!E59</f>
        <v>49646.3802666875</v>
      </c>
      <c r="H59" s="24" t="n">
        <f aca="false">C59/(M_a*A59)</f>
        <v>25.9603812671446</v>
      </c>
      <c r="I59" s="24" t="n">
        <f aca="false">G59/(M_z*A59)</f>
        <v>29.5470805471409</v>
      </c>
    </row>
    <row r="60" customFormat="false" ht="15" hidden="false" customHeight="false" outlineLevel="0" collapsed="false">
      <c r="A60" s="4" t="n">
        <f aca="false">Tabele!A60</f>
        <v>2950</v>
      </c>
      <c r="B60" s="18" t="n">
        <f aca="false">a_CO2*Tabele!F60+a_H2O*Tabele!G60+a_O2*Tabele!H60+a_N2*Tabele!I60</f>
        <v>55904.1929260592</v>
      </c>
      <c r="C60" s="18" t="n">
        <f aca="false">a_CO2*Tabele!B60+a_H2O*Tabele!C60+a_O2*Tabele!D60+a_N2*Tabele!E60</f>
        <v>42366.9749842747</v>
      </c>
      <c r="D60" s="18" t="n">
        <f aca="false">y_CO2*Tabele!B60+y_H2O*Tabele!C60+y_O2*Tabele!D60+y_N2*Tabele!E60</f>
        <v>50646.2510873449</v>
      </c>
      <c r="E60" s="18" t="n">
        <f aca="false">y_CO2*Tabele!F60+y_H2O*Tabele!G60+y_O2*Tabele!H60+y_N2*Tabele!I60</f>
        <v>64857.4363339539</v>
      </c>
      <c r="F60" s="18" t="n">
        <f aca="false">z_CO2*Tabele!F60+z_H2O*Tabele!G60+z_O2*Tabele!H60+z_N2*Tabele!I60</f>
        <v>64857.4363339539</v>
      </c>
      <c r="G60" s="18" t="n">
        <f aca="false">z_CO2*Tabele!B60+z_H2O*Tabele!C60+z_O2*Tabele!D60+z_N2*Tabele!E60</f>
        <v>50646.2510873449</v>
      </c>
      <c r="H60" s="24" t="n">
        <f aca="false">C60/(M_a*A60)</f>
        <v>26.0214467120932</v>
      </c>
      <c r="I60" s="24" t="n">
        <f aca="false">G60/(M_z*A60)</f>
        <v>29.6312704447197</v>
      </c>
    </row>
    <row r="61" customFormat="false" ht="15" hidden="false" customHeight="false" outlineLevel="0" collapsed="false">
      <c r="A61" s="4" t="n">
        <f aca="false">Tabele!A61</f>
        <v>3000</v>
      </c>
      <c r="B61" s="18" t="n">
        <f aca="false">a_CO2*Tabele!F61+a_H2O*Tabele!G61+a_O2*Tabele!H61+a_N2*Tabele!I61</f>
        <v>56950.8041344133</v>
      </c>
      <c r="C61" s="18" t="n">
        <f aca="false">a_CO2*Tabele!B61+a_H2O*Tabele!C61+a_O2*Tabele!D61+a_N2*Tabele!E61</f>
        <v>43184.1103223832</v>
      </c>
      <c r="D61" s="18" t="n">
        <f aca="false">y_CO2*Tabele!B61+y_H2O*Tabele!C61+y_O2*Tabele!D61+y_N2*Tabele!E61</f>
        <v>51647.7054649271</v>
      </c>
      <c r="E61" s="18" t="n">
        <f aca="false">y_CO2*Tabele!F61+y_H2O*Tabele!G61+y_O2*Tabele!H61+y_N2*Tabele!I61</f>
        <v>66099.7957725712</v>
      </c>
      <c r="F61" s="18" t="n">
        <f aca="false">z_CO2*Tabele!F61+z_H2O*Tabele!G61+z_O2*Tabele!H61+z_N2*Tabele!I61</f>
        <v>66099.7957725712</v>
      </c>
      <c r="G61" s="18" t="n">
        <f aca="false">z_CO2*Tabele!B61+z_H2O*Tabele!C61+z_O2*Tabele!D61+z_N2*Tabele!E61</f>
        <v>51647.7054649271</v>
      </c>
      <c r="H61" s="24" t="n">
        <f aca="false">C61/(M_a*A61)</f>
        <v>26.0812690910109</v>
      </c>
      <c r="I61" s="24" t="n">
        <f aca="false">G61/(M_z*A61)</f>
        <v>29.7135650523039</v>
      </c>
    </row>
    <row r="62" customFormat="false" ht="15" hidden="false" customHeight="false" outlineLevel="0" collapsed="false">
      <c r="A62" s="4" t="n">
        <f aca="false">Tabele!A62</f>
        <v>3050</v>
      </c>
      <c r="B62" s="18" t="n">
        <f aca="false">a_CO2*Tabele!F62+a_H2O*Tabele!G62+a_O2*Tabele!H62+a_N2*Tabele!I62</f>
        <v>57998.6498534078</v>
      </c>
      <c r="C62" s="18" t="n">
        <f aca="false">a_CO2*Tabele!B62+a_H2O*Tabele!C62+a_O2*Tabele!D62+a_N2*Tabele!E62</f>
        <v>44002.5240225807</v>
      </c>
      <c r="D62" s="18" t="n">
        <f aca="false">y_CO2*Tabele!B62+y_H2O*Tabele!C62+y_O2*Tabele!D62+y_N2*Tabele!E62</f>
        <v>52650.6777967035</v>
      </c>
      <c r="E62" s="18" t="n">
        <f aca="false">y_CO2*Tabele!F62+y_H2O*Tabele!G62+y_O2*Tabele!H62+y_N2*Tabele!I62</f>
        <v>67343.6227569165</v>
      </c>
      <c r="F62" s="18" t="n">
        <f aca="false">z_CO2*Tabele!F62+z_H2O*Tabele!G62+z_O2*Tabele!H62+z_N2*Tabele!I62</f>
        <v>67343.6227569165</v>
      </c>
      <c r="G62" s="18" t="n">
        <f aca="false">z_CO2*Tabele!B62+z_H2O*Tabele!C62+z_O2*Tabele!D62+z_N2*Tabele!E62</f>
        <v>52650.6777967035</v>
      </c>
      <c r="H62" s="24" t="n">
        <f aca="false">C62/(M_a*A62)</f>
        <v>26.1398894969777</v>
      </c>
      <c r="I62" s="24" t="n">
        <f aca="false">G62/(M_z*A62)</f>
        <v>29.7940204575353</v>
      </c>
    </row>
    <row r="63" customFormat="false" ht="15" hidden="false" customHeight="false" outlineLevel="0" collapsed="false">
      <c r="A63" s="4" t="n">
        <f aca="false">Tabele!A63</f>
        <v>3100</v>
      </c>
      <c r="B63" s="18" t="n">
        <f aca="false">a_CO2*Tabele!F63+a_H2O*Tabele!G63+a_O2*Tabele!H63+a_N2*Tabele!I63</f>
        <v>59047.7938657959</v>
      </c>
      <c r="C63" s="18" t="n">
        <f aca="false">a_CO2*Tabele!B63+a_H2O*Tabele!C63+a_O2*Tabele!D63+a_N2*Tabele!E63</f>
        <v>44822.2360161719</v>
      </c>
      <c r="D63" s="18" t="n">
        <f aca="false">y_CO2*Tabele!B63+y_H2O*Tabele!C63+y_O2*Tabele!D63+y_N2*Tabele!E63</f>
        <v>53655.1804394175</v>
      </c>
      <c r="E63" s="18" t="n">
        <f aca="false">y_CO2*Tabele!F63+y_H2O*Tabele!G63+y_O2*Tabele!H63+y_N2*Tabele!I63</f>
        <v>68588.9800521994</v>
      </c>
      <c r="F63" s="18" t="n">
        <f aca="false">z_CO2*Tabele!F63+z_H2O*Tabele!G63+z_O2*Tabele!H63+z_N2*Tabele!I63</f>
        <v>68588.9800521994</v>
      </c>
      <c r="G63" s="18" t="n">
        <f aca="false">z_CO2*Tabele!B63+z_H2O*Tabele!C63+z_O2*Tabele!D63+z_N2*Tabele!E63</f>
        <v>53655.1804394175</v>
      </c>
      <c r="H63" s="24" t="n">
        <f aca="false">C63/(M_a*A63)</f>
        <v>26.1973777392806</v>
      </c>
      <c r="I63" s="24" t="n">
        <f aca="false">G63/(M_z*A63)</f>
        <v>29.8727325337415</v>
      </c>
    </row>
    <row r="64" customFormat="false" ht="15" hidden="false" customHeight="false" outlineLevel="0" collapsed="false">
      <c r="A64" s="4" t="n">
        <f aca="false">Tabele!A64</f>
        <v>3150</v>
      </c>
      <c r="B64" s="18" t="n">
        <f aca="false">a_CO2*Tabele!F64+a_H2O*Tabele!G64+a_O2*Tabele!H64+a_N2*Tabele!I64</f>
        <v>60098.1367152057</v>
      </c>
      <c r="C64" s="18" t="n">
        <f aca="false">a_CO2*Tabele!B64+a_H2O*Tabele!C64+a_O2*Tabele!D64+a_N2*Tabele!E64</f>
        <v>45643.1355065039</v>
      </c>
      <c r="D64" s="18" t="n">
        <f aca="false">y_CO2*Tabele!B64+y_H2O*Tabele!C64+y_O2*Tabele!D64+y_N2*Tabele!E64</f>
        <v>54661.0898508022</v>
      </c>
      <c r="E64" s="18" t="n">
        <f aca="false">y_CO2*Tabele!F64+y_H2O*Tabele!G64+y_O2*Tabele!H64+y_N2*Tabele!I64</f>
        <v>69835.7516472232</v>
      </c>
      <c r="F64" s="18" t="n">
        <f aca="false">z_CO2*Tabele!F64+z_H2O*Tabele!G64+z_O2*Tabele!H64+z_N2*Tabele!I64</f>
        <v>69835.7516472232</v>
      </c>
      <c r="G64" s="18" t="n">
        <f aca="false">z_CO2*Tabele!B64+z_H2O*Tabele!C64+z_O2*Tabele!D64+z_N2*Tabele!E64</f>
        <v>54661.0898508022</v>
      </c>
      <c r="H64" s="24" t="n">
        <f aca="false">C64/(M_a*A64)</f>
        <v>26.253724000744</v>
      </c>
      <c r="I64" s="24" t="n">
        <f aca="false">G64/(M_z*A64)</f>
        <v>29.9497166057359</v>
      </c>
    </row>
    <row r="65" customFormat="false" ht="15" hidden="false" customHeight="false" outlineLevel="0" collapsed="false">
      <c r="A65" s="4" t="n">
        <f aca="false">Tabele!A65</f>
        <v>3200</v>
      </c>
      <c r="B65" s="18" t="n">
        <f aca="false">a_CO2*Tabele!F65+a_H2O*Tabele!G65+a_O2*Tabele!H65+a_N2*Tabele!I65</f>
        <v>61149.6548946873</v>
      </c>
      <c r="C65" s="18" t="n">
        <f aca="false">a_CO2*Tabele!B65+a_H2O*Tabele!C65+a_O2*Tabele!D65+a_N2*Tabele!E65</f>
        <v>46465.1786350042</v>
      </c>
      <c r="D65" s="18" t="n">
        <f aca="false">y_CO2*Tabele!B65+y_H2O*Tabele!C65+y_O2*Tabele!D65+y_N2*Tabele!E65</f>
        <v>55668.3554902674</v>
      </c>
      <c r="E65" s="18" t="n">
        <f aca="false">y_CO2*Tabele!F65+y_H2O*Tabele!G65+y_O2*Tabele!H65+y_N2*Tabele!I65</f>
        <v>71083.9071534592</v>
      </c>
      <c r="F65" s="18" t="n">
        <f aca="false">z_CO2*Tabele!F65+z_H2O*Tabele!G65+z_O2*Tabele!H65+z_N2*Tabele!I65</f>
        <v>71083.9071534592</v>
      </c>
      <c r="G65" s="18" t="n">
        <f aca="false">z_CO2*Tabele!B65+z_H2O*Tabele!C65+z_O2*Tabele!D65+z_N2*Tabele!E65</f>
        <v>55668.3554902674</v>
      </c>
      <c r="H65" s="24" t="n">
        <f aca="false">C65/(M_a*A65)</f>
        <v>26.308956978644</v>
      </c>
      <c r="I65" s="24" t="n">
        <f aca="false">G65/(M_z*A65)</f>
        <v>30.0250264143772</v>
      </c>
    </row>
    <row r="66" customFormat="false" ht="15" hidden="false" customHeight="false" outlineLevel="0" collapsed="false">
      <c r="A66" s="4" t="n">
        <f aca="false">Tabele!A66</f>
        <v>3250</v>
      </c>
      <c r="B66" s="18" t="n">
        <f aca="false">a_CO2*Tabele!F66+a_H2O*Tabele!G66+a_O2*Tabele!H66+a_N2*Tabele!I66</f>
        <v>62202.33706396</v>
      </c>
      <c r="C66" s="18" t="n">
        <f aca="false">a_CO2*Tabele!B66+a_H2O*Tabele!C66+a_O2*Tabele!D66+a_N2*Tabele!E66</f>
        <v>47288.4279662156</v>
      </c>
      <c r="D66" s="18" t="n">
        <f aca="false">y_CO2*Tabele!B66+y_H2O*Tabele!C66+y_O2*Tabele!D66+y_N2*Tabele!E66</f>
        <v>56677.0175298121</v>
      </c>
      <c r="E66" s="18" t="n">
        <f aca="false">y_CO2*Tabele!F66+y_H2O*Tabele!G66+y_O2*Tabele!H66+y_N2*Tabele!I66</f>
        <v>72333.4390398372</v>
      </c>
      <c r="F66" s="18" t="n">
        <f aca="false">z_CO2*Tabele!F66+z_H2O*Tabele!G66+z_O2*Tabele!H66+z_N2*Tabele!I66</f>
        <v>72333.4390398372</v>
      </c>
      <c r="G66" s="18" t="n">
        <f aca="false">z_CO2*Tabele!B66+z_H2O*Tabele!C66+z_O2*Tabele!D66+z_N2*Tabele!E66</f>
        <v>56677.0175298121</v>
      </c>
      <c r="H66" s="24" t="n">
        <f aca="false">C66/(M_a*A66)</f>
        <v>26.3631629348522</v>
      </c>
      <c r="I66" s="24" t="n">
        <f aca="false">G66/(M_z*A66)</f>
        <v>30.0987605670039</v>
      </c>
    </row>
    <row r="67" customFormat="false" ht="15" hidden="false" customHeight="false" outlineLevel="0" collapsed="false">
      <c r="A67" s="4" t="n">
        <f aca="false">Tabele!A67</f>
        <v>3300</v>
      </c>
      <c r="B67" s="18" t="n">
        <f aca="false">a_CO2*Tabele!F67+a_H2O*Tabele!G67+a_O2*Tabele!H67+a_N2*Tabele!I67</f>
        <v>63256.1702370905</v>
      </c>
      <c r="C67" s="18" t="n">
        <f aca="false">a_CO2*Tabele!B67+a_H2O*Tabele!C67+a_O2*Tabele!D67+a_N2*Tabele!E67</f>
        <v>48112.7852691005</v>
      </c>
      <c r="D67" s="18" t="n">
        <f aca="false">y_CO2*Tabele!B67+y_H2O*Tabele!C67+y_O2*Tabele!D67+y_N2*Tabele!E67</f>
        <v>57686.9826835742</v>
      </c>
      <c r="E67" s="18" t="n">
        <f aca="false">y_CO2*Tabele!F67+y_H2O*Tabele!G67+y_O2*Tabele!H67+y_N2*Tabele!I67</f>
        <v>73584.3092546344</v>
      </c>
      <c r="F67" s="18" t="n">
        <f aca="false">z_CO2*Tabele!F67+z_H2O*Tabele!G67+z_O2*Tabele!H67+z_N2*Tabele!I67</f>
        <v>73584.3092546344</v>
      </c>
      <c r="G67" s="18" t="n">
        <f aca="false">z_CO2*Tabele!B67+z_H2O*Tabele!C67+z_O2*Tabele!D67+z_N2*Tabele!E67</f>
        <v>57686.9826835742</v>
      </c>
      <c r="H67" s="24" t="n">
        <f aca="false">C67/(M_a*A67)</f>
        <v>26.4163346184013</v>
      </c>
      <c r="I67" s="24" t="n">
        <f aca="false">G67/(M_z*A67)</f>
        <v>30.1709418947867</v>
      </c>
    </row>
    <row r="68" customFormat="false" ht="15" hidden="false" customHeight="false" outlineLevel="0" collapsed="false">
      <c r="A68" s="4" t="n">
        <f aca="false">Tabele!A68</f>
        <v>3350</v>
      </c>
      <c r="B68" s="18" t="n">
        <f aca="false">a_CO2*Tabele!F68+a_H2O*Tabele!G68+a_O2*Tabele!H68+a_N2*Tabele!I68</f>
        <v>64311.033922798</v>
      </c>
      <c r="C68" s="18" t="n">
        <f aca="false">a_CO2*Tabele!B68+a_H2O*Tabele!C68+a_O2*Tabele!D68+a_N2*Tabele!E68</f>
        <v>48938.2599681953</v>
      </c>
      <c r="D68" s="18" t="n">
        <f aca="false">y_CO2*Tabele!B68+y_H2O*Tabele!C68+y_O2*Tabele!D68+y_N2*Tabele!E68</f>
        <v>58698.2712357392</v>
      </c>
      <c r="E68" s="18" t="n">
        <f aca="false">y_CO2*Tabele!F68+y_H2O*Tabele!G68+y_O2*Tabele!H68+y_N2*Tabele!I68</f>
        <v>74836.4172451664</v>
      </c>
      <c r="F68" s="18" t="n">
        <f aca="false">z_CO2*Tabele!F68+z_H2O*Tabele!G68+z_O2*Tabele!H68+z_N2*Tabele!I68</f>
        <v>74836.4172451664</v>
      </c>
      <c r="G68" s="18" t="n">
        <f aca="false">z_CO2*Tabele!B68+z_H2O*Tabele!C68+z_O2*Tabele!D68+z_N2*Tabele!E68</f>
        <v>58698.2712357392</v>
      </c>
      <c r="H68" s="24" t="n">
        <f aca="false">C68/(M_a*A68)</f>
        <v>26.4685234373192</v>
      </c>
      <c r="I68" s="24" t="n">
        <f aca="false">G68/(M_z*A68)</f>
        <v>30.2416503777129</v>
      </c>
    </row>
    <row r="69" customFormat="false" ht="15" hidden="false" customHeight="false" outlineLevel="0" collapsed="false">
      <c r="A69" s="4" t="n">
        <f aca="false">Tabele!A69</f>
        <v>3400</v>
      </c>
      <c r="B69" s="18" t="n">
        <f aca="false">a_CO2*Tabele!F69+a_H2O*Tabele!G69+a_O2*Tabele!H69+a_N2*Tabele!I69</f>
        <v>65366.9910916956</v>
      </c>
      <c r="C69" s="18" t="n">
        <f aca="false">a_CO2*Tabele!B69+a_H2O*Tabele!C69+a_O2*Tabele!D69+a_N2*Tabele!E69</f>
        <v>49764.7855314901</v>
      </c>
      <c r="D69" s="18" t="n">
        <f aca="false">y_CO2*Tabele!B69+y_H2O*Tabele!C69+y_O2*Tabele!D69+y_N2*Tabele!E69</f>
        <v>59710.8177157006</v>
      </c>
      <c r="E69" s="18" t="n">
        <f aca="false">y_CO2*Tabele!F69+y_H2O*Tabele!G69+y_O2*Tabele!H69+y_N2*Tabele!I69</f>
        <v>76089.8107145026</v>
      </c>
      <c r="F69" s="18" t="n">
        <f aca="false">z_CO2*Tabele!F69+z_H2O*Tabele!G69+z_O2*Tabele!H69+z_N2*Tabele!I69</f>
        <v>76089.8107145026</v>
      </c>
      <c r="G69" s="18" t="n">
        <f aca="false">z_CO2*Tabele!B69+z_H2O*Tabele!C69+z_O2*Tabele!D69+z_N2*Tabele!E69</f>
        <v>59710.8177157006</v>
      </c>
      <c r="H69" s="24" t="n">
        <f aca="false">C69/(M_a*A69)</f>
        <v>26.5197372982614</v>
      </c>
      <c r="I69" s="24" t="n">
        <f aca="false">G69/(M_z*A69)</f>
        <v>30.3109177594808</v>
      </c>
    </row>
    <row r="70" customFormat="false" ht="15" hidden="false" customHeight="false" outlineLevel="0" collapsed="false">
      <c r="A70" s="4" t="n">
        <f aca="false">Tabele!A70</f>
        <v>3450</v>
      </c>
      <c r="B70" s="18" t="n">
        <f aca="false">a_CO2*Tabele!F70+a_H2O*Tabele!G70+a_O2*Tabele!H70+a_N2*Tabele!I70</f>
        <v>66423.9764513558</v>
      </c>
      <c r="C70" s="18" t="n">
        <f aca="false">a_CO2*Tabele!B70+a_H2O*Tabele!C70+a_O2*Tabele!D70+a_N2*Tabele!E70</f>
        <v>50592.2840866942</v>
      </c>
      <c r="D70" s="18" t="n">
        <f aca="false">y_CO2*Tabele!B70+y_H2O*Tabele!C70+y_O2*Tabele!D70+y_N2*Tabele!E70</f>
        <v>60724.5491217819</v>
      </c>
      <c r="E70" s="18" t="n">
        <f aca="false">y_CO2*Tabele!F70+y_H2O*Tabele!G70+y_O2*Tabele!H70+y_N2*Tabele!I70</f>
        <v>77344.447181619</v>
      </c>
      <c r="F70" s="18" t="n">
        <f aca="false">z_CO2*Tabele!F70+z_H2O*Tabele!G70+z_O2*Tabele!H70+z_N2*Tabele!I70</f>
        <v>77344.447181619</v>
      </c>
      <c r="G70" s="18" t="n">
        <f aca="false">z_CO2*Tabele!B70+z_H2O*Tabele!C70+z_O2*Tabele!D70+z_N2*Tabele!E70</f>
        <v>60724.5491217819</v>
      </c>
      <c r="H70" s="24" t="n">
        <f aca="false">C70/(M_a*A70)</f>
        <v>26.5699776938558</v>
      </c>
      <c r="I70" s="24" t="n">
        <f aca="false">G70/(M_z*A70)</f>
        <v>30.3787701759936</v>
      </c>
    </row>
    <row r="71" customFormat="false" ht="15" hidden="false" customHeight="false" outlineLevel="0" collapsed="false">
      <c r="A71" s="4" t="n">
        <f aca="false">Tabele!A71</f>
        <v>3500</v>
      </c>
      <c r="B71" s="18" t="n">
        <f aca="false">a_CO2*Tabele!F71+a_H2O*Tabele!G71+a_O2*Tabele!H71+a_N2*Tabele!I71</f>
        <v>67481.9551545483</v>
      </c>
      <c r="C71" s="18" t="n">
        <f aca="false">a_CO2*Tabele!B71+a_H2O*Tabele!C71+a_O2*Tabele!D71+a_N2*Tabele!E71</f>
        <v>51420.8307710896</v>
      </c>
      <c r="D71" s="18" t="n">
        <f aca="false">y_CO2*Tabele!B71+y_H2O*Tabele!C71+y_O2*Tabele!D71+y_N2*Tabele!E71</f>
        <v>61739.5360145107</v>
      </c>
      <c r="E71" s="18" t="n">
        <f aca="false">y_CO2*Tabele!F71+y_H2O*Tabele!G71+y_O2*Tabele!H71+y_N2*Tabele!I71</f>
        <v>78600.2887269167</v>
      </c>
      <c r="F71" s="18" t="n">
        <f aca="false">z_CO2*Tabele!F71+z_H2O*Tabele!G71+z_O2*Tabele!H71+z_N2*Tabele!I71</f>
        <v>78600.2887269167</v>
      </c>
      <c r="G71" s="18" t="n">
        <f aca="false">z_CO2*Tabele!B71+z_H2O*Tabele!C71+z_O2*Tabele!D71+z_N2*Tabele!E71</f>
        <v>61739.5360145107</v>
      </c>
      <c r="H71" s="24" t="n">
        <f aca="false">C71/(M_a*A71)</f>
        <v>26.6193252408066</v>
      </c>
      <c r="I71" s="24" t="n">
        <f aca="false">G71/(M_z*A71)</f>
        <v>30.445303063773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1"/>
  </cols>
  <sheetData>
    <row r="1" customFormat="false" ht="15" hidden="false" customHeight="false" outlineLevel="0" collapsed="false">
      <c r="A1" s="22" t="s">
        <v>510</v>
      </c>
      <c r="B1" s="4"/>
      <c r="C1" s="4"/>
      <c r="D1" s="4"/>
      <c r="E1" s="4"/>
      <c r="F1" s="4"/>
      <c r="G1" s="4"/>
      <c r="H1" s="4"/>
      <c r="I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</row>
    <row r="4" customFormat="false" ht="15" hidden="false" customHeight="false" outlineLevel="0" collapsed="false">
      <c r="A4" s="5" t="s">
        <v>502</v>
      </c>
      <c r="B4" s="5" t="s">
        <v>511</v>
      </c>
      <c r="C4" s="5" t="s">
        <v>512</v>
      </c>
      <c r="D4" s="5" t="s">
        <v>513</v>
      </c>
      <c r="E4" s="5" t="s">
        <v>514</v>
      </c>
      <c r="F4" s="5" t="s">
        <v>515</v>
      </c>
      <c r="G4" s="5" t="s">
        <v>516</v>
      </c>
      <c r="H4" s="5" t="s">
        <v>517</v>
      </c>
      <c r="I4" s="5" t="s">
        <v>518</v>
      </c>
    </row>
    <row r="5" customFormat="false" ht="15" hidden="false" customHeight="false" outlineLevel="0" collapsed="false">
      <c r="A5" s="4" t="n">
        <v>200</v>
      </c>
      <c r="B5" s="4" t="n">
        <v>4285.2</v>
      </c>
      <c r="C5" s="4" t="n">
        <v>4960.2</v>
      </c>
      <c r="D5" s="4" t="n">
        <v>4153.3</v>
      </c>
      <c r="E5" s="4" t="n">
        <v>4166.6</v>
      </c>
      <c r="F5" s="4" t="n">
        <v>5948.1</v>
      </c>
      <c r="G5" s="4" t="n">
        <v>6623.1</v>
      </c>
      <c r="H5" s="4" t="n">
        <v>5816.2</v>
      </c>
      <c r="I5" s="4" t="n">
        <v>5829.4</v>
      </c>
    </row>
    <row r="6" customFormat="false" ht="15" hidden="false" customHeight="false" outlineLevel="0" collapsed="false">
      <c r="A6" s="4" t="n">
        <v>250</v>
      </c>
      <c r="B6" s="4" t="n">
        <v>5550.7</v>
      </c>
      <c r="C6" s="4" t="n">
        <v>6212.9</v>
      </c>
      <c r="D6" s="4" t="n">
        <v>5195</v>
      </c>
      <c r="E6" s="4" t="n">
        <v>5194.5</v>
      </c>
      <c r="F6" s="4" t="n">
        <v>7629.3</v>
      </c>
      <c r="G6" s="4" t="n">
        <v>8291.5</v>
      </c>
      <c r="H6" s="4" t="n">
        <v>7273.6</v>
      </c>
      <c r="I6" s="4" t="n">
        <v>7273.1</v>
      </c>
    </row>
    <row r="7" customFormat="false" ht="15" hidden="false" customHeight="false" outlineLevel="0" collapsed="false">
      <c r="A7" s="4" t="n">
        <v>300</v>
      </c>
      <c r="B7" s="4" t="n">
        <v>6938.4</v>
      </c>
      <c r="C7" s="4" t="n">
        <v>7471.8</v>
      </c>
      <c r="D7" s="4" t="n">
        <v>6243</v>
      </c>
      <c r="E7" s="4" t="n">
        <v>6229.4</v>
      </c>
      <c r="F7" s="4" t="n">
        <v>9432.8</v>
      </c>
      <c r="G7" s="4" t="n">
        <v>9966.1</v>
      </c>
      <c r="H7" s="4" t="n">
        <v>8737.4</v>
      </c>
      <c r="I7" s="4" t="n">
        <v>8723.8</v>
      </c>
    </row>
    <row r="8" customFormat="false" ht="15" hidden="false" customHeight="false" outlineLevel="0" collapsed="false">
      <c r="A8" s="4" t="n">
        <v>350</v>
      </c>
      <c r="B8" s="4" t="n">
        <v>8437.6</v>
      </c>
      <c r="C8" s="4" t="n">
        <v>8742.8</v>
      </c>
      <c r="D8" s="4" t="n">
        <v>7304.4</v>
      </c>
      <c r="E8" s="4" t="n">
        <v>7270.5</v>
      </c>
      <c r="F8" s="4" t="n">
        <v>11347.7</v>
      </c>
      <c r="G8" s="4" t="n">
        <v>11652.9</v>
      </c>
      <c r="H8" s="4" t="n">
        <v>10214.4</v>
      </c>
      <c r="I8" s="4" t="n">
        <v>10180.5</v>
      </c>
    </row>
    <row r="9" customFormat="false" ht="15" hidden="false" customHeight="false" outlineLevel="0" collapsed="false">
      <c r="A9" s="4" t="n">
        <v>400</v>
      </c>
      <c r="B9" s="4" t="n">
        <v>10038.2</v>
      </c>
      <c r="C9" s="4" t="n">
        <v>10030.7</v>
      </c>
      <c r="D9" s="4" t="n">
        <v>8384.2</v>
      </c>
      <c r="E9" s="4" t="n">
        <v>8317.5</v>
      </c>
      <c r="F9" s="4" t="n">
        <v>13364</v>
      </c>
      <c r="G9" s="4" t="n">
        <v>13356.5</v>
      </c>
      <c r="H9" s="4" t="n">
        <v>11710</v>
      </c>
      <c r="I9" s="4" t="n">
        <v>11643.3</v>
      </c>
    </row>
    <row r="10" customFormat="false" ht="15" hidden="false" customHeight="false" outlineLevel="0" collapsed="false">
      <c r="A10" s="4" t="n">
        <v>450</v>
      </c>
      <c r="B10" s="4" t="n">
        <v>11730.9</v>
      </c>
      <c r="C10" s="4" t="n">
        <v>11339.3</v>
      </c>
      <c r="D10" s="4" t="n">
        <v>9486</v>
      </c>
      <c r="E10" s="4" t="n">
        <v>9371.3</v>
      </c>
      <c r="F10" s="4" t="n">
        <v>15472.4</v>
      </c>
      <c r="G10" s="4" t="n">
        <v>15080.8</v>
      </c>
      <c r="H10" s="4" t="n">
        <v>13227.5</v>
      </c>
      <c r="I10" s="4" t="n">
        <v>13112.8</v>
      </c>
    </row>
    <row r="11" customFormat="false" ht="15" hidden="false" customHeight="false" outlineLevel="0" collapsed="false">
      <c r="A11" s="4" t="n">
        <v>500</v>
      </c>
      <c r="B11" s="4" t="n">
        <v>13507.2</v>
      </c>
      <c r="C11" s="4" t="n">
        <v>12671.6</v>
      </c>
      <c r="D11" s="4" t="n">
        <v>10612</v>
      </c>
      <c r="E11" s="4" t="n">
        <v>10432.9</v>
      </c>
      <c r="F11" s="4" t="n">
        <v>17664.4</v>
      </c>
      <c r="G11" s="4" t="n">
        <v>16828.8</v>
      </c>
      <c r="H11" s="4" t="n">
        <v>14769.2</v>
      </c>
      <c r="I11" s="4" t="n">
        <v>14590.2</v>
      </c>
    </row>
    <row r="12" customFormat="false" ht="15" hidden="false" customHeight="false" outlineLevel="0" collapsed="false">
      <c r="A12" s="4" t="n">
        <v>550</v>
      </c>
      <c r="B12" s="4" t="n">
        <v>15359</v>
      </c>
      <c r="C12" s="4" t="n">
        <v>14029.9</v>
      </c>
      <c r="D12" s="4" t="n">
        <v>11763</v>
      </c>
      <c r="E12" s="4" t="n">
        <v>11504</v>
      </c>
      <c r="F12" s="4" t="n">
        <v>19931.9</v>
      </c>
      <c r="G12" s="4" t="n">
        <v>18602.9</v>
      </c>
      <c r="H12" s="4" t="n">
        <v>16336</v>
      </c>
      <c r="I12" s="4" t="n">
        <v>16077</v>
      </c>
    </row>
    <row r="13" customFormat="false" ht="15" hidden="false" customHeight="false" outlineLevel="0" collapsed="false">
      <c r="A13" s="4" t="n">
        <v>600</v>
      </c>
      <c r="B13" s="4" t="n">
        <v>17279.1</v>
      </c>
      <c r="C13" s="4" t="n">
        <v>15415.9</v>
      </c>
      <c r="D13" s="4" t="n">
        <v>12939.1</v>
      </c>
      <c r="E13" s="4" t="n">
        <v>12586.3</v>
      </c>
      <c r="F13" s="4" t="n">
        <v>22267.8</v>
      </c>
      <c r="G13" s="4" t="n">
        <v>20404.6</v>
      </c>
      <c r="H13" s="4" t="n">
        <v>17927.8</v>
      </c>
      <c r="I13" s="4" t="n">
        <v>17575</v>
      </c>
    </row>
    <row r="14" customFormat="false" ht="15" hidden="false" customHeight="false" outlineLevel="0" collapsed="false">
      <c r="A14" s="4" t="n">
        <v>650</v>
      </c>
      <c r="B14" s="4" t="n">
        <v>19261</v>
      </c>
      <c r="C14" s="4" t="n">
        <v>16830.9</v>
      </c>
      <c r="D14" s="4" t="n">
        <v>14139.5</v>
      </c>
      <c r="E14" s="4" t="n">
        <v>13681.8</v>
      </c>
      <c r="F14" s="4" t="n">
        <v>24665.4</v>
      </c>
      <c r="G14" s="4" t="n">
        <v>22235.3</v>
      </c>
      <c r="H14" s="4" t="n">
        <v>19543.9</v>
      </c>
      <c r="I14" s="4" t="n">
        <v>19086.2</v>
      </c>
    </row>
    <row r="15" customFormat="false" ht="15" hidden="false" customHeight="false" outlineLevel="0" collapsed="false">
      <c r="A15" s="4" t="n">
        <v>700</v>
      </c>
      <c r="B15" s="4" t="n">
        <v>21298.8</v>
      </c>
      <c r="C15" s="4" t="n">
        <v>18275.5</v>
      </c>
      <c r="D15" s="4" t="n">
        <v>15362.6</v>
      </c>
      <c r="E15" s="4" t="n">
        <v>14792.3</v>
      </c>
      <c r="F15" s="4" t="n">
        <v>27118.9</v>
      </c>
      <c r="G15" s="4" t="n">
        <v>24095.6</v>
      </c>
      <c r="H15" s="4" t="n">
        <v>21182.7</v>
      </c>
      <c r="I15" s="4" t="n">
        <v>20612.4</v>
      </c>
    </row>
    <row r="16" customFormat="false" ht="15" hidden="false" customHeight="false" outlineLevel="0" collapsed="false">
      <c r="A16" s="4" t="n">
        <v>750</v>
      </c>
      <c r="B16" s="4" t="n">
        <v>23387.1</v>
      </c>
      <c r="C16" s="4" t="n">
        <v>19750.4</v>
      </c>
      <c r="D16" s="4" t="n">
        <v>16606.6</v>
      </c>
      <c r="E16" s="4" t="n">
        <v>15919.3</v>
      </c>
      <c r="F16" s="4" t="n">
        <v>29622.9</v>
      </c>
      <c r="G16" s="4" t="n">
        <v>25986.2</v>
      </c>
      <c r="H16" s="4" t="n">
        <v>22842.4</v>
      </c>
      <c r="I16" s="4" t="n">
        <v>22155.2</v>
      </c>
    </row>
    <row r="17" customFormat="false" ht="15" hidden="false" customHeight="false" outlineLevel="0" collapsed="false">
      <c r="A17" s="4" t="n">
        <v>800</v>
      </c>
      <c r="B17" s="4" t="n">
        <v>25521.3</v>
      </c>
      <c r="C17" s="4" t="n">
        <v>21255.9</v>
      </c>
      <c r="D17" s="4" t="n">
        <v>17869.6</v>
      </c>
      <c r="E17" s="4" t="n">
        <v>17064.1</v>
      </c>
      <c r="F17" s="4" t="n">
        <v>32172.8</v>
      </c>
      <c r="G17" s="4" t="n">
        <v>27907.5</v>
      </c>
      <c r="H17" s="4" t="n">
        <v>24521.1</v>
      </c>
      <c r="I17" s="4" t="n">
        <v>23715.7</v>
      </c>
    </row>
    <row r="18" customFormat="false" ht="15" hidden="false" customHeight="false" outlineLevel="0" collapsed="false">
      <c r="A18" s="4" t="n">
        <v>850</v>
      </c>
      <c r="B18" s="4" t="n">
        <v>27697.4</v>
      </c>
      <c r="C18" s="4" t="n">
        <v>22792.3</v>
      </c>
      <c r="D18" s="4" t="n">
        <v>19149.5</v>
      </c>
      <c r="E18" s="4" t="n">
        <v>18227.4</v>
      </c>
      <c r="F18" s="4" t="n">
        <v>34764.7</v>
      </c>
      <c r="G18" s="4" t="n">
        <v>29859.6</v>
      </c>
      <c r="H18" s="4" t="n">
        <v>26216.8</v>
      </c>
      <c r="I18" s="4" t="n">
        <v>25294.7</v>
      </c>
    </row>
    <row r="19" customFormat="false" ht="15" hidden="false" customHeight="false" outlineLevel="0" collapsed="false">
      <c r="A19" s="4" t="n">
        <v>900</v>
      </c>
      <c r="B19" s="4" t="n">
        <v>29912.1</v>
      </c>
      <c r="C19" s="4" t="n">
        <v>24360.1</v>
      </c>
      <c r="D19" s="4" t="n">
        <v>20444.5</v>
      </c>
      <c r="E19" s="4" t="n">
        <v>19409.2</v>
      </c>
      <c r="F19" s="4" t="n">
        <v>37395.1</v>
      </c>
      <c r="G19" s="4" t="n">
        <v>31843.1</v>
      </c>
      <c r="H19" s="4" t="n">
        <v>27927.5</v>
      </c>
      <c r="I19" s="4" t="n">
        <v>26892.2</v>
      </c>
    </row>
    <row r="20" customFormat="false" ht="15" hidden="false" customHeight="false" outlineLevel="0" collapsed="false">
      <c r="A20" s="4" t="n">
        <v>950</v>
      </c>
      <c r="B20" s="4" t="n">
        <v>32162.5</v>
      </c>
      <c r="C20" s="4" t="n">
        <v>25959.7</v>
      </c>
      <c r="D20" s="4" t="n">
        <v>21753.4</v>
      </c>
      <c r="E20" s="4" t="n">
        <v>20608.6</v>
      </c>
      <c r="F20" s="4" t="n">
        <v>40061.3</v>
      </c>
      <c r="G20" s="4" t="n">
        <v>33858.5</v>
      </c>
      <c r="H20" s="4" t="n">
        <v>29652.1</v>
      </c>
      <c r="I20" s="4" t="n">
        <v>28507.4</v>
      </c>
    </row>
    <row r="21" customFormat="false" ht="15" hidden="false" customHeight="false" outlineLevel="0" collapsed="false">
      <c r="A21" s="4" t="n">
        <v>1000</v>
      </c>
      <c r="B21" s="4" t="n">
        <v>34446.6</v>
      </c>
      <c r="C21" s="4" t="n">
        <v>27592</v>
      </c>
      <c r="D21" s="4" t="n">
        <v>23075.3</v>
      </c>
      <c r="E21" s="4" t="n">
        <v>21824</v>
      </c>
      <c r="F21" s="4" t="n">
        <v>42761.1</v>
      </c>
      <c r="G21" s="4" t="n">
        <v>35906.5</v>
      </c>
      <c r="H21" s="4" t="n">
        <v>31389.8</v>
      </c>
      <c r="I21" s="4" t="n">
        <v>30138.4</v>
      </c>
    </row>
    <row r="22" customFormat="false" ht="15" hidden="false" customHeight="false" outlineLevel="0" collapsed="false">
      <c r="A22" s="4" t="n">
        <v>1050</v>
      </c>
      <c r="B22" s="4" t="n">
        <v>36760.8</v>
      </c>
      <c r="C22" s="4" t="n">
        <v>29257.8</v>
      </c>
      <c r="D22" s="4" t="n">
        <v>24409</v>
      </c>
      <c r="E22" s="4" t="n">
        <v>23052.7</v>
      </c>
      <c r="F22" s="4" t="n">
        <v>45491</v>
      </c>
      <c r="G22" s="4" t="n">
        <v>37988</v>
      </c>
      <c r="H22" s="4" t="n">
        <v>33139.2</v>
      </c>
      <c r="I22" s="4" t="n">
        <v>31782.9</v>
      </c>
    </row>
    <row r="23" customFormat="false" ht="15" hidden="false" customHeight="false" outlineLevel="0" collapsed="false">
      <c r="A23" s="4" t="n">
        <v>1100</v>
      </c>
      <c r="B23" s="4" t="n">
        <v>39101.5</v>
      </c>
      <c r="C23" s="4" t="n">
        <v>30956.6</v>
      </c>
      <c r="D23" s="4" t="n">
        <v>25752.7</v>
      </c>
      <c r="E23" s="4" t="n">
        <v>24293.9</v>
      </c>
      <c r="F23" s="4" t="n">
        <v>48247.4</v>
      </c>
      <c r="G23" s="4" t="n">
        <v>40102.5</v>
      </c>
      <c r="H23" s="4" t="n">
        <v>34898.6</v>
      </c>
      <c r="I23" s="4" t="n">
        <v>33439.8</v>
      </c>
    </row>
    <row r="24" customFormat="false" ht="15" hidden="false" customHeight="false" outlineLevel="0" collapsed="false">
      <c r="A24" s="4" t="n">
        <v>1150</v>
      </c>
      <c r="B24" s="4" t="n">
        <v>41467</v>
      </c>
      <c r="C24" s="4" t="n">
        <v>32687.7</v>
      </c>
      <c r="D24" s="4" t="n">
        <v>27105.9</v>
      </c>
      <c r="E24" s="4" t="n">
        <v>25546.9</v>
      </c>
      <c r="F24" s="4" t="n">
        <v>51028.7</v>
      </c>
      <c r="G24" s="4" t="n">
        <v>42249.4</v>
      </c>
      <c r="H24" s="4" t="n">
        <v>36667.5</v>
      </c>
      <c r="I24" s="4" t="n">
        <v>35108.6</v>
      </c>
    </row>
    <row r="25" customFormat="false" ht="15" hidden="false" customHeight="false" outlineLevel="0" collapsed="false">
      <c r="A25" s="4" t="n">
        <v>1200</v>
      </c>
      <c r="B25" s="4" t="n">
        <v>43855.6</v>
      </c>
      <c r="C25" s="4" t="n">
        <v>34450.4</v>
      </c>
      <c r="D25" s="4" t="n">
        <v>28468.3</v>
      </c>
      <c r="E25" s="4" t="n">
        <v>26811.2</v>
      </c>
      <c r="F25" s="4" t="n">
        <v>53833</v>
      </c>
      <c r="G25" s="4" t="n">
        <v>44427.7</v>
      </c>
      <c r="H25" s="4" t="n">
        <v>38445.7</v>
      </c>
      <c r="I25" s="4" t="n">
        <v>36788.5</v>
      </c>
    </row>
    <row r="26" customFormat="false" ht="15" hidden="false" customHeight="false" outlineLevel="0" collapsed="false">
      <c r="A26" s="4" t="n">
        <v>1250</v>
      </c>
      <c r="B26" s="4" t="n">
        <v>46265.7</v>
      </c>
      <c r="C26" s="4" t="n">
        <v>36243.8</v>
      </c>
      <c r="D26" s="4" t="n">
        <v>29839.4</v>
      </c>
      <c r="E26" s="4" t="n">
        <v>28086.1</v>
      </c>
      <c r="F26" s="4" t="n">
        <v>56658.8</v>
      </c>
      <c r="G26" s="4" t="n">
        <v>46636.8</v>
      </c>
      <c r="H26" s="4" t="n">
        <v>40232.5</v>
      </c>
      <c r="I26" s="4" t="n">
        <v>38479.1</v>
      </c>
    </row>
    <row r="27" customFormat="false" ht="15" hidden="false" customHeight="false" outlineLevel="0" collapsed="false">
      <c r="A27" s="4" t="n">
        <v>1300</v>
      </c>
      <c r="B27" s="4" t="n">
        <v>48695.8</v>
      </c>
      <c r="C27" s="4" t="n">
        <v>38067.2</v>
      </c>
      <c r="D27" s="4" t="n">
        <v>31218.8</v>
      </c>
      <c r="E27" s="4" t="n">
        <v>29371.1</v>
      </c>
      <c r="F27" s="4" t="n">
        <v>59504.6</v>
      </c>
      <c r="G27" s="4" t="n">
        <v>48876</v>
      </c>
      <c r="H27" s="4" t="n">
        <v>42027.6</v>
      </c>
      <c r="I27" s="4" t="n">
        <v>40179.9</v>
      </c>
    </row>
    <row r="28" customFormat="false" ht="15" hidden="false" customHeight="false" outlineLevel="0" collapsed="false">
      <c r="A28" s="4" t="n">
        <v>1350</v>
      </c>
      <c r="B28" s="4" t="n">
        <v>51144.5</v>
      </c>
      <c r="C28" s="4" t="n">
        <v>39919.8</v>
      </c>
      <c r="D28" s="4" t="n">
        <v>32606.3</v>
      </c>
      <c r="E28" s="4" t="n">
        <v>30665.7</v>
      </c>
      <c r="F28" s="4" t="n">
        <v>62369</v>
      </c>
      <c r="G28" s="4" t="n">
        <v>51144.3</v>
      </c>
      <c r="H28" s="4" t="n">
        <v>43830.8</v>
      </c>
      <c r="I28" s="4" t="n">
        <v>41890.2</v>
      </c>
    </row>
    <row r="29" customFormat="false" ht="15" hidden="false" customHeight="false" outlineLevel="0" collapsed="false">
      <c r="A29" s="4" t="n">
        <v>1400</v>
      </c>
      <c r="B29" s="4" t="n">
        <v>53610.5</v>
      </c>
      <c r="C29" s="4" t="n">
        <v>41800.9</v>
      </c>
      <c r="D29" s="4" t="n">
        <v>34001.3</v>
      </c>
      <c r="E29" s="4" t="n">
        <v>31969.5</v>
      </c>
      <c r="F29" s="4" t="n">
        <v>65250.7</v>
      </c>
      <c r="G29" s="4" t="n">
        <v>53441.1</v>
      </c>
      <c r="H29" s="4" t="n">
        <v>45641.6</v>
      </c>
      <c r="I29" s="4" t="n">
        <v>43609.7</v>
      </c>
    </row>
    <row r="30" customFormat="false" ht="15" hidden="false" customHeight="false" outlineLevel="0" collapsed="false">
      <c r="A30" s="4" t="n">
        <v>1450</v>
      </c>
      <c r="B30" s="4" t="n">
        <v>56092.6</v>
      </c>
      <c r="C30" s="4" t="n">
        <v>43709.6</v>
      </c>
      <c r="D30" s="4" t="n">
        <v>35403.8</v>
      </c>
      <c r="E30" s="4" t="n">
        <v>33281.9</v>
      </c>
      <c r="F30" s="4" t="n">
        <v>68148.5</v>
      </c>
      <c r="G30" s="4" t="n">
        <v>55765.6</v>
      </c>
      <c r="H30" s="4" t="n">
        <v>47459.8</v>
      </c>
      <c r="I30" s="4" t="n">
        <v>45337.9</v>
      </c>
    </row>
    <row r="31" customFormat="false" ht="15" hidden="false" customHeight="false" outlineLevel="0" collapsed="false">
      <c r="A31" s="4" t="n">
        <v>1500</v>
      </c>
      <c r="B31" s="4" t="n">
        <v>58589.5</v>
      </c>
      <c r="C31" s="4" t="n">
        <v>45645.3</v>
      </c>
      <c r="D31" s="4" t="n">
        <v>36813.4</v>
      </c>
      <c r="E31" s="4" t="n">
        <v>34602.5</v>
      </c>
      <c r="F31" s="4" t="n">
        <v>71061.2</v>
      </c>
      <c r="G31" s="4" t="n">
        <v>58116.9</v>
      </c>
      <c r="H31" s="4" t="n">
        <v>49285.1</v>
      </c>
      <c r="I31" s="4" t="n">
        <v>47074.2</v>
      </c>
    </row>
    <row r="32" customFormat="false" ht="15" hidden="false" customHeight="false" outlineLevel="0" collapsed="false">
      <c r="A32" s="4" t="n">
        <v>1550</v>
      </c>
      <c r="B32" s="4" t="n">
        <v>61100.4</v>
      </c>
      <c r="C32" s="4" t="n">
        <v>47607</v>
      </c>
      <c r="D32" s="4" t="n">
        <v>38229.8</v>
      </c>
      <c r="E32" s="4" t="n">
        <v>35930.8</v>
      </c>
      <c r="F32" s="4" t="n">
        <v>73987.8</v>
      </c>
      <c r="G32" s="4" t="n">
        <v>60494.4</v>
      </c>
      <c r="H32" s="4" t="n">
        <v>51117.2</v>
      </c>
      <c r="I32" s="4" t="n">
        <v>48818.3</v>
      </c>
    </row>
    <row r="33" customFormat="false" ht="15" hidden="false" customHeight="false" outlineLevel="0" collapsed="false">
      <c r="A33" s="4" t="n">
        <v>1600</v>
      </c>
      <c r="B33" s="4" t="n">
        <v>63624.1</v>
      </c>
      <c r="C33" s="4" t="n">
        <v>49594.2</v>
      </c>
      <c r="D33" s="4" t="n">
        <v>39652.9</v>
      </c>
      <c r="E33" s="4" t="n">
        <v>37266.5</v>
      </c>
      <c r="F33" s="4" t="n">
        <v>76927.2</v>
      </c>
      <c r="G33" s="4" t="n">
        <v>62897.3</v>
      </c>
      <c r="H33" s="4" t="n">
        <v>52956</v>
      </c>
      <c r="I33" s="4" t="n">
        <v>50569.7</v>
      </c>
    </row>
    <row r="34" customFormat="false" ht="15" hidden="false" customHeight="false" outlineLevel="0" collapsed="false">
      <c r="A34" s="4" t="n">
        <v>1650</v>
      </c>
      <c r="B34" s="4" t="n">
        <v>66159.7</v>
      </c>
      <c r="C34" s="4" t="n">
        <v>51605.8</v>
      </c>
      <c r="D34" s="4" t="n">
        <v>41082.5</v>
      </c>
      <c r="E34" s="4" t="n">
        <v>38609.1</v>
      </c>
      <c r="F34" s="4" t="n">
        <v>79878.6</v>
      </c>
      <c r="G34" s="4" t="n">
        <v>65324.7</v>
      </c>
      <c r="H34" s="4" t="n">
        <v>54801.3</v>
      </c>
      <c r="I34" s="4" t="n">
        <v>52328</v>
      </c>
    </row>
    <row r="35" customFormat="false" ht="15" hidden="false" customHeight="false" outlineLevel="0" collapsed="false">
      <c r="A35" s="4" t="n">
        <v>1700</v>
      </c>
      <c r="B35" s="4" t="n">
        <v>68706.5</v>
      </c>
      <c r="C35" s="4" t="n">
        <v>53641.3</v>
      </c>
      <c r="D35" s="4" t="n">
        <v>42518.4</v>
      </c>
      <c r="E35" s="4" t="n">
        <v>39958.3</v>
      </c>
      <c r="F35" s="4" t="n">
        <v>82841.1</v>
      </c>
      <c r="G35" s="4" t="n">
        <v>67775.9</v>
      </c>
      <c r="H35" s="4" t="n">
        <v>56652.9</v>
      </c>
      <c r="I35" s="4" t="n">
        <v>54092.9</v>
      </c>
    </row>
    <row r="36" customFormat="false" ht="15" hidden="false" customHeight="false" outlineLevel="0" collapsed="false">
      <c r="A36" s="4" t="n">
        <v>1750</v>
      </c>
      <c r="B36" s="4" t="n">
        <v>71263.5</v>
      </c>
      <c r="C36" s="4" t="n">
        <v>55699.9</v>
      </c>
      <c r="D36" s="4" t="n">
        <v>43960.4</v>
      </c>
      <c r="E36" s="4" t="n">
        <v>41313.7</v>
      </c>
      <c r="F36" s="4" t="n">
        <v>85813.8</v>
      </c>
      <c r="G36" s="4" t="n">
        <v>70250.2</v>
      </c>
      <c r="H36" s="4" t="n">
        <v>58510.7</v>
      </c>
      <c r="I36" s="4" t="n">
        <v>55864</v>
      </c>
    </row>
    <row r="37" customFormat="false" ht="15" hidden="false" customHeight="false" outlineLevel="0" collapsed="false">
      <c r="A37" s="4" t="n">
        <v>1800</v>
      </c>
      <c r="B37" s="4" t="n">
        <v>73830.1</v>
      </c>
      <c r="C37" s="4" t="n">
        <v>57780.7</v>
      </c>
      <c r="D37" s="4" t="n">
        <v>45408.5</v>
      </c>
      <c r="E37" s="4" t="n">
        <v>42674.9</v>
      </c>
      <c r="F37" s="4" t="n">
        <v>88796.1</v>
      </c>
      <c r="G37" s="4" t="n">
        <v>72746.7</v>
      </c>
      <c r="H37" s="4" t="n">
        <v>60374.5</v>
      </c>
      <c r="I37" s="4" t="n">
        <v>57640.9</v>
      </c>
    </row>
    <row r="38" customFormat="false" ht="15" hidden="false" customHeight="false" outlineLevel="0" collapsed="false">
      <c r="A38" s="4" t="n">
        <v>1850</v>
      </c>
      <c r="B38" s="4" t="n">
        <v>76405.6</v>
      </c>
      <c r="C38" s="4" t="n">
        <v>59883</v>
      </c>
      <c r="D38" s="4" t="n">
        <v>46862.5</v>
      </c>
      <c r="E38" s="4" t="n">
        <v>44041.6</v>
      </c>
      <c r="F38" s="4" t="n">
        <v>91787.3</v>
      </c>
      <c r="G38" s="4" t="n">
        <v>75264.8</v>
      </c>
      <c r="H38" s="4" t="n">
        <v>62244.2</v>
      </c>
      <c r="I38" s="4" t="n">
        <v>59423.4</v>
      </c>
    </row>
    <row r="39" customFormat="false" ht="15" hidden="false" customHeight="false" outlineLevel="0" collapsed="false">
      <c r="A39" s="4" t="n">
        <v>1900</v>
      </c>
      <c r="B39" s="4" t="n">
        <v>78989.3</v>
      </c>
      <c r="C39" s="4" t="n">
        <v>62006.1</v>
      </c>
      <c r="D39" s="4" t="n">
        <v>48322.3</v>
      </c>
      <c r="E39" s="4" t="n">
        <v>45413.6</v>
      </c>
      <c r="F39" s="4" t="n">
        <v>94786.8</v>
      </c>
      <c r="G39" s="4" t="n">
        <v>77803.6</v>
      </c>
      <c r="H39" s="4" t="n">
        <v>64119.7</v>
      </c>
      <c r="I39" s="4" t="n">
        <v>61211.1</v>
      </c>
    </row>
    <row r="40" customFormat="false" ht="15" hidden="false" customHeight="false" outlineLevel="0" collapsed="false">
      <c r="A40" s="4" t="n">
        <v>1950</v>
      </c>
      <c r="B40" s="4" t="n">
        <v>81580.9</v>
      </c>
      <c r="C40" s="4" t="n">
        <v>64149.3</v>
      </c>
      <c r="D40" s="4" t="n">
        <v>49787.8</v>
      </c>
      <c r="E40" s="4" t="n">
        <v>46790.4</v>
      </c>
      <c r="F40" s="4" t="n">
        <v>97794.1</v>
      </c>
      <c r="G40" s="4" t="n">
        <v>80362.5</v>
      </c>
      <c r="H40" s="4" t="n">
        <v>66001</v>
      </c>
      <c r="I40" s="4" t="n">
        <v>63003.6</v>
      </c>
    </row>
    <row r="41" customFormat="false" ht="15" hidden="false" customHeight="false" outlineLevel="0" collapsed="false">
      <c r="A41" s="4" t="n">
        <v>2000</v>
      </c>
      <c r="B41" s="4" t="n">
        <v>84179.6</v>
      </c>
      <c r="C41" s="4" t="n">
        <v>66311.7</v>
      </c>
      <c r="D41" s="4" t="n">
        <v>51259.1</v>
      </c>
      <c r="E41" s="4" t="n">
        <v>48171.9</v>
      </c>
      <c r="F41" s="4" t="n">
        <v>100808.6</v>
      </c>
      <c r="G41" s="4" t="n">
        <v>82940.7</v>
      </c>
      <c r="H41" s="4" t="n">
        <v>67888</v>
      </c>
      <c r="I41" s="4" t="n">
        <v>64800.8</v>
      </c>
    </row>
    <row r="42" customFormat="false" ht="15" hidden="false" customHeight="false" outlineLevel="0" collapsed="false">
      <c r="A42" s="4" t="n">
        <v>2050</v>
      </c>
      <c r="B42" s="4" t="n">
        <v>86785.2</v>
      </c>
      <c r="C42" s="4" t="n">
        <v>68492.8</v>
      </c>
      <c r="D42" s="4" t="n">
        <v>52736</v>
      </c>
      <c r="E42" s="4" t="n">
        <v>49557.7</v>
      </c>
      <c r="F42" s="4" t="n">
        <v>103829.8</v>
      </c>
      <c r="G42" s="4" t="n">
        <v>85537.4</v>
      </c>
      <c r="H42" s="4" t="n">
        <v>69780.7</v>
      </c>
      <c r="I42" s="4" t="n">
        <v>66602.4</v>
      </c>
    </row>
    <row r="43" customFormat="false" ht="15" hidden="false" customHeight="false" outlineLevel="0" collapsed="false">
      <c r="A43" s="4" t="n">
        <v>2100</v>
      </c>
      <c r="B43" s="4" t="n">
        <v>89397.1</v>
      </c>
      <c r="C43" s="4" t="n">
        <v>70691.7</v>
      </c>
      <c r="D43" s="4" t="n">
        <v>54218.5</v>
      </c>
      <c r="E43" s="4" t="n">
        <v>50947.7</v>
      </c>
      <c r="F43" s="4" t="n">
        <v>106857.5</v>
      </c>
      <c r="G43" s="4" t="n">
        <v>88152.1</v>
      </c>
      <c r="H43" s="4" t="n">
        <v>71678.9</v>
      </c>
      <c r="I43" s="4" t="n">
        <v>68408</v>
      </c>
    </row>
    <row r="44" customFormat="false" ht="15" hidden="false" customHeight="false" outlineLevel="0" collapsed="false">
      <c r="A44" s="4" t="n">
        <v>2150</v>
      </c>
      <c r="B44" s="4" t="n">
        <v>92015.1</v>
      </c>
      <c r="C44" s="4" t="n">
        <v>72907.9</v>
      </c>
      <c r="D44" s="4" t="n">
        <v>55706.6</v>
      </c>
      <c r="E44" s="4" t="n">
        <v>52341.5</v>
      </c>
      <c r="F44" s="4" t="n">
        <v>109891.2</v>
      </c>
      <c r="G44" s="4" t="n">
        <v>90783.9</v>
      </c>
      <c r="H44" s="4" t="n">
        <v>73582.7</v>
      </c>
      <c r="I44" s="4" t="n">
        <v>70217.6</v>
      </c>
    </row>
    <row r="45" customFormat="false" ht="15" hidden="false" customHeight="false" outlineLevel="0" collapsed="false">
      <c r="A45" s="4" t="n">
        <v>2200</v>
      </c>
      <c r="B45" s="4" t="n">
        <v>94638.7</v>
      </c>
      <c r="C45" s="4" t="n">
        <v>75140.5</v>
      </c>
      <c r="D45" s="4" t="n">
        <v>57200.3</v>
      </c>
      <c r="E45" s="4" t="n">
        <v>53738.9</v>
      </c>
      <c r="F45" s="4" t="n">
        <v>112930.5</v>
      </c>
      <c r="G45" s="4" t="n">
        <v>93432.3</v>
      </c>
      <c r="H45" s="4" t="n">
        <v>75492.1</v>
      </c>
      <c r="I45" s="4" t="n">
        <v>72030.7</v>
      </c>
    </row>
    <row r="46" customFormat="false" ht="15" hidden="false" customHeight="false" outlineLevel="0" collapsed="false">
      <c r="A46" s="4" t="n">
        <v>2250</v>
      </c>
      <c r="B46" s="4" t="n">
        <v>97267.7</v>
      </c>
      <c r="C46" s="4" t="n">
        <v>77389</v>
      </c>
      <c r="D46" s="4" t="n">
        <v>58699.4</v>
      </c>
      <c r="E46" s="4" t="n">
        <v>55139.8</v>
      </c>
      <c r="F46" s="4" t="n">
        <v>115975.3</v>
      </c>
      <c r="G46" s="4" t="n">
        <v>96096.5</v>
      </c>
      <c r="H46" s="4" t="n">
        <v>77407</v>
      </c>
      <c r="I46" s="4" t="n">
        <v>73847.3</v>
      </c>
    </row>
    <row r="47" customFormat="false" ht="15" hidden="false" customHeight="false" outlineLevel="0" collapsed="false">
      <c r="A47" s="4" t="n">
        <v>2300</v>
      </c>
      <c r="B47" s="4" t="n">
        <v>99901.9</v>
      </c>
      <c r="C47" s="4" t="n">
        <v>79652.7</v>
      </c>
      <c r="D47" s="4" t="n">
        <v>60204.2</v>
      </c>
      <c r="E47" s="4" t="n">
        <v>56543.9</v>
      </c>
      <c r="F47" s="4" t="n">
        <v>119025.2</v>
      </c>
      <c r="G47" s="4" t="n">
        <v>98775.9</v>
      </c>
      <c r="H47" s="4" t="n">
        <v>79327.4</v>
      </c>
      <c r="I47" s="4" t="n">
        <v>75667.2</v>
      </c>
    </row>
    <row r="48" customFormat="false" ht="15" hidden="false" customHeight="false" outlineLevel="0" collapsed="false">
      <c r="A48" s="4" t="n">
        <v>2350</v>
      </c>
      <c r="B48" s="4" t="n">
        <v>102541</v>
      </c>
      <c r="C48" s="4" t="n">
        <v>81930.9</v>
      </c>
      <c r="D48" s="4" t="n">
        <v>61714.4</v>
      </c>
      <c r="E48" s="4" t="n">
        <v>57951.1</v>
      </c>
      <c r="F48" s="4" t="n">
        <v>122080</v>
      </c>
      <c r="G48" s="4" t="n">
        <v>101469.9</v>
      </c>
      <c r="H48" s="4" t="n">
        <v>81253.4</v>
      </c>
      <c r="I48" s="4" t="n">
        <v>77490.1</v>
      </c>
    </row>
    <row r="49" customFormat="false" ht="15" hidden="false" customHeight="false" outlineLevel="0" collapsed="false">
      <c r="A49" s="4" t="n">
        <v>2400</v>
      </c>
      <c r="B49" s="4" t="n">
        <v>105184.8</v>
      </c>
      <c r="C49" s="4" t="n">
        <v>84223.1</v>
      </c>
      <c r="D49" s="4" t="n">
        <v>63230.2</v>
      </c>
      <c r="E49" s="4" t="n">
        <v>59361.1</v>
      </c>
      <c r="F49" s="4" t="n">
        <v>125139.5</v>
      </c>
      <c r="G49" s="4" t="n">
        <v>104177.8</v>
      </c>
      <c r="H49" s="4" t="n">
        <v>83184.9</v>
      </c>
      <c r="I49" s="4" t="n">
        <v>79315.8</v>
      </c>
    </row>
    <row r="50" customFormat="false" ht="15" hidden="false" customHeight="false" outlineLevel="0" collapsed="false">
      <c r="A50" s="4" t="n">
        <v>2450</v>
      </c>
      <c r="B50" s="4" t="n">
        <v>107833.2</v>
      </c>
      <c r="C50" s="4" t="n">
        <v>86528.7</v>
      </c>
      <c r="D50" s="4" t="n">
        <v>64751.5</v>
      </c>
      <c r="E50" s="4" t="n">
        <v>60773.9</v>
      </c>
      <c r="F50" s="4" t="n">
        <v>128203.6</v>
      </c>
      <c r="G50" s="4" t="n">
        <v>106899.1</v>
      </c>
      <c r="H50" s="4" t="n">
        <v>85121.9</v>
      </c>
      <c r="I50" s="4" t="n">
        <v>81144.3</v>
      </c>
    </row>
    <row r="51" customFormat="false" ht="15" hidden="false" customHeight="false" outlineLevel="0" collapsed="false">
      <c r="A51" s="4" t="n">
        <v>2500</v>
      </c>
      <c r="B51" s="4" t="n">
        <v>110485.9</v>
      </c>
      <c r="C51" s="4" t="n">
        <v>88847</v>
      </c>
      <c r="D51" s="4" t="n">
        <v>66278.3</v>
      </c>
      <c r="E51" s="4" t="n">
        <v>62189.2</v>
      </c>
      <c r="F51" s="4" t="n">
        <v>131272.1</v>
      </c>
      <c r="G51" s="4" t="n">
        <v>109633.2</v>
      </c>
      <c r="H51" s="4" t="n">
        <v>87064.5</v>
      </c>
      <c r="I51" s="4" t="n">
        <v>82975.4</v>
      </c>
    </row>
    <row r="52" customFormat="false" ht="15" hidden="false" customHeight="false" outlineLevel="0" collapsed="false">
      <c r="A52" s="4" t="n">
        <v>2550</v>
      </c>
      <c r="B52" s="4" t="n">
        <v>113143</v>
      </c>
      <c r="C52" s="4" t="n">
        <v>91177.6</v>
      </c>
      <c r="D52" s="4" t="n">
        <v>67810.7</v>
      </c>
      <c r="E52" s="4" t="n">
        <v>63607</v>
      </c>
      <c r="F52" s="4" t="n">
        <v>134344.8</v>
      </c>
      <c r="G52" s="4" t="n">
        <v>112379.5</v>
      </c>
      <c r="H52" s="4" t="n">
        <v>89012.6</v>
      </c>
      <c r="I52" s="4" t="n">
        <v>84808.8</v>
      </c>
    </row>
    <row r="53" customFormat="false" ht="15" hidden="false" customHeight="false" outlineLevel="0" collapsed="false">
      <c r="A53" s="4" t="n">
        <v>2600</v>
      </c>
      <c r="B53" s="4" t="n">
        <v>115804.1</v>
      </c>
      <c r="C53" s="4" t="n">
        <v>93519.9</v>
      </c>
      <c r="D53" s="4" t="n">
        <v>69348.6</v>
      </c>
      <c r="E53" s="4" t="n">
        <v>65027</v>
      </c>
      <c r="F53" s="4" t="n">
        <v>137421.7</v>
      </c>
      <c r="G53" s="4" t="n">
        <v>115137.5</v>
      </c>
      <c r="H53" s="4" t="n">
        <v>90966.2</v>
      </c>
      <c r="I53" s="4" t="n">
        <v>86644.6</v>
      </c>
    </row>
    <row r="54" customFormat="false" ht="15" hidden="false" customHeight="false" outlineLevel="0" collapsed="false">
      <c r="A54" s="4" t="n">
        <v>2650</v>
      </c>
      <c r="B54" s="4" t="n">
        <v>118469.4</v>
      </c>
      <c r="C54" s="4" t="n">
        <v>95873.3</v>
      </c>
      <c r="D54" s="4" t="n">
        <v>70892</v>
      </c>
      <c r="E54" s="4" t="n">
        <v>66449.2</v>
      </c>
      <c r="F54" s="4" t="n">
        <v>140502.7</v>
      </c>
      <c r="G54" s="4" t="n">
        <v>117906.7</v>
      </c>
      <c r="H54" s="4" t="n">
        <v>92925.4</v>
      </c>
      <c r="I54" s="4" t="n">
        <v>88482.6</v>
      </c>
    </row>
    <row r="55" customFormat="false" ht="15" hidden="false" customHeight="false" outlineLevel="0" collapsed="false">
      <c r="A55" s="4" t="n">
        <v>2700</v>
      </c>
      <c r="B55" s="4" t="n">
        <v>121138.5</v>
      </c>
      <c r="C55" s="4" t="n">
        <v>98237.5</v>
      </c>
      <c r="D55" s="4" t="n">
        <v>72441</v>
      </c>
      <c r="E55" s="4" t="n">
        <v>67873.5</v>
      </c>
      <c r="F55" s="4" t="n">
        <v>143587.6</v>
      </c>
      <c r="G55" s="4" t="n">
        <v>120686.6</v>
      </c>
      <c r="H55" s="4" t="n">
        <v>94890</v>
      </c>
      <c r="I55" s="4" t="n">
        <v>90322.6</v>
      </c>
    </row>
    <row r="56" customFormat="false" ht="15" hidden="false" customHeight="false" outlineLevel="0" collapsed="false">
      <c r="A56" s="4" t="n">
        <v>2750</v>
      </c>
      <c r="B56" s="4" t="n">
        <v>123811.6</v>
      </c>
      <c r="C56" s="4" t="n">
        <v>100611.9</v>
      </c>
      <c r="D56" s="4" t="n">
        <v>73995.5</v>
      </c>
      <c r="E56" s="4" t="n">
        <v>69299.8</v>
      </c>
      <c r="F56" s="4" t="n">
        <v>146676.4</v>
      </c>
      <c r="G56" s="4" t="n">
        <v>123476.7</v>
      </c>
      <c r="H56" s="4" t="n">
        <v>96860.2</v>
      </c>
      <c r="I56" s="4" t="n">
        <v>92164.6</v>
      </c>
    </row>
    <row r="57" customFormat="false" ht="15" hidden="false" customHeight="false" outlineLevel="0" collapsed="false">
      <c r="A57" s="4" t="n">
        <v>2800</v>
      </c>
      <c r="B57" s="4" t="n">
        <v>126488.4</v>
      </c>
      <c r="C57" s="4" t="n">
        <v>102996.2</v>
      </c>
      <c r="D57" s="4" t="n">
        <v>75555.4</v>
      </c>
      <c r="E57" s="4" t="n">
        <v>70728</v>
      </c>
      <c r="F57" s="4" t="n">
        <v>149768.9</v>
      </c>
      <c r="G57" s="4" t="n">
        <v>126276.7</v>
      </c>
      <c r="H57" s="4" t="n">
        <v>98835.9</v>
      </c>
      <c r="I57" s="4" t="n">
        <v>94008.4</v>
      </c>
    </row>
    <row r="58" customFormat="false" ht="15" hidden="false" customHeight="false" outlineLevel="0" collapsed="false">
      <c r="A58" s="4" t="n">
        <v>2850</v>
      </c>
      <c r="B58" s="4" t="n">
        <v>129169</v>
      </c>
      <c r="C58" s="4" t="n">
        <v>105389.8</v>
      </c>
      <c r="D58" s="4" t="n">
        <v>77120.8</v>
      </c>
      <c r="E58" s="4" t="n">
        <v>72157.9</v>
      </c>
      <c r="F58" s="4" t="n">
        <v>152865.2</v>
      </c>
      <c r="G58" s="4" t="n">
        <v>129086</v>
      </c>
      <c r="H58" s="4" t="n">
        <v>100817</v>
      </c>
      <c r="I58" s="4" t="n">
        <v>95854.1</v>
      </c>
    </row>
    <row r="59" customFormat="false" ht="15" hidden="false" customHeight="false" outlineLevel="0" collapsed="false">
      <c r="A59" s="4" t="n">
        <v>2900</v>
      </c>
      <c r="B59" s="4" t="n">
        <v>131853.2</v>
      </c>
      <c r="C59" s="4" t="n">
        <v>107792.5</v>
      </c>
      <c r="D59" s="4" t="n">
        <v>78691.6</v>
      </c>
      <c r="E59" s="4" t="n">
        <v>73589.6</v>
      </c>
      <c r="F59" s="4" t="n">
        <v>155965.1</v>
      </c>
      <c r="G59" s="4" t="n">
        <v>131904.4</v>
      </c>
      <c r="H59" s="4" t="n">
        <v>102803.6</v>
      </c>
      <c r="I59" s="4" t="n">
        <v>97701.5</v>
      </c>
    </row>
    <row r="60" customFormat="false" ht="15" hidden="false" customHeight="false" outlineLevel="0" collapsed="false">
      <c r="A60" s="4" t="n">
        <v>2950</v>
      </c>
      <c r="B60" s="4" t="n">
        <v>134540.9</v>
      </c>
      <c r="C60" s="4" t="n">
        <v>110203.9</v>
      </c>
      <c r="D60" s="4" t="n">
        <v>80267.8</v>
      </c>
      <c r="E60" s="4" t="n">
        <v>75022.9</v>
      </c>
      <c r="F60" s="4" t="n">
        <v>159068.6</v>
      </c>
      <c r="G60" s="4" t="n">
        <v>134731.5</v>
      </c>
      <c r="H60" s="4" t="n">
        <v>104795.5</v>
      </c>
      <c r="I60" s="4" t="n">
        <v>99550.5</v>
      </c>
    </row>
    <row r="61" customFormat="false" ht="15" hidden="false" customHeight="false" outlineLevel="0" collapsed="false">
      <c r="A61" s="4" t="n">
        <v>3000</v>
      </c>
      <c r="B61" s="4" t="n">
        <v>137232.1</v>
      </c>
      <c r="C61" s="4" t="n">
        <v>112623.6</v>
      </c>
      <c r="D61" s="4" t="n">
        <v>81849.2</v>
      </c>
      <c r="E61" s="4" t="n">
        <v>76457.8</v>
      </c>
      <c r="F61" s="4" t="n">
        <v>162175.5</v>
      </c>
      <c r="G61" s="4" t="n">
        <v>137567</v>
      </c>
      <c r="H61" s="4" t="n">
        <v>106792.6</v>
      </c>
      <c r="I61" s="4" t="n">
        <v>101401.2</v>
      </c>
    </row>
    <row r="62" customFormat="false" ht="15" hidden="false" customHeight="false" outlineLevel="0" collapsed="false">
      <c r="A62" s="4" t="n">
        <v>3050</v>
      </c>
      <c r="B62" s="4" t="n">
        <v>139926.7</v>
      </c>
      <c r="C62" s="4" t="n">
        <v>115051.4</v>
      </c>
      <c r="D62" s="4" t="n">
        <v>83435.9</v>
      </c>
      <c r="E62" s="4" t="n">
        <v>77894.2</v>
      </c>
      <c r="F62" s="4" t="n">
        <v>165285.8</v>
      </c>
      <c r="G62" s="4" t="n">
        <v>140410.5</v>
      </c>
      <c r="H62" s="4" t="n">
        <v>108795</v>
      </c>
      <c r="I62" s="4" t="n">
        <v>103253.3</v>
      </c>
    </row>
    <row r="63" customFormat="false" ht="15" hidden="false" customHeight="false" outlineLevel="0" collapsed="false">
      <c r="A63" s="4" t="n">
        <v>3100</v>
      </c>
      <c r="B63" s="4" t="n">
        <v>142624.5</v>
      </c>
      <c r="C63" s="4" t="n">
        <v>117487.1</v>
      </c>
      <c r="D63" s="4" t="n">
        <v>85027.7</v>
      </c>
      <c r="E63" s="4" t="n">
        <v>79332.2</v>
      </c>
      <c r="F63" s="4" t="n">
        <v>168399.3</v>
      </c>
      <c r="G63" s="4" t="n">
        <v>143261.9</v>
      </c>
      <c r="H63" s="4" t="n">
        <v>110802.5</v>
      </c>
      <c r="I63" s="4" t="n">
        <v>105107</v>
      </c>
    </row>
    <row r="64" customFormat="false" ht="15" hidden="false" customHeight="false" outlineLevel="0" collapsed="false">
      <c r="A64" s="4" t="n">
        <v>3150</v>
      </c>
      <c r="B64" s="4" t="n">
        <v>145325.3</v>
      </c>
      <c r="C64" s="4" t="n">
        <v>119930.4</v>
      </c>
      <c r="D64" s="4" t="n">
        <v>86624.4</v>
      </c>
      <c r="E64" s="4" t="n">
        <v>80771.6</v>
      </c>
      <c r="F64" s="4" t="n">
        <v>171515.9</v>
      </c>
      <c r="G64" s="4" t="n">
        <v>146120.9</v>
      </c>
      <c r="H64" s="4" t="n">
        <v>112815</v>
      </c>
      <c r="I64" s="4" t="n">
        <v>106962.1</v>
      </c>
    </row>
    <row r="65" customFormat="false" ht="15" hidden="false" customHeight="false" outlineLevel="0" collapsed="false">
      <c r="A65" s="4" t="n">
        <v>3200</v>
      </c>
      <c r="B65" s="4" t="n">
        <v>148029.2</v>
      </c>
      <c r="C65" s="4" t="n">
        <v>122381.1</v>
      </c>
      <c r="D65" s="4" t="n">
        <v>88226</v>
      </c>
      <c r="E65" s="4" t="n">
        <v>82212.3</v>
      </c>
      <c r="F65" s="4" t="n">
        <v>174635.4</v>
      </c>
      <c r="G65" s="4" t="n">
        <v>148987.3</v>
      </c>
      <c r="H65" s="4" t="n">
        <v>114832.3</v>
      </c>
      <c r="I65" s="4" t="n">
        <v>108818.6</v>
      </c>
    </row>
    <row r="66" customFormat="false" ht="15" hidden="false" customHeight="false" outlineLevel="0" collapsed="false">
      <c r="A66" s="4" t="n">
        <v>3250</v>
      </c>
      <c r="B66" s="4" t="n">
        <v>150735.7</v>
      </c>
      <c r="C66" s="4" t="n">
        <v>124839.1</v>
      </c>
      <c r="D66" s="4" t="n">
        <v>89832.3</v>
      </c>
      <c r="E66" s="4" t="n">
        <v>83654.5</v>
      </c>
      <c r="F66" s="4" t="n">
        <v>177757.7</v>
      </c>
      <c r="G66" s="4" t="n">
        <v>151861.1</v>
      </c>
      <c r="H66" s="4" t="n">
        <v>116854.3</v>
      </c>
      <c r="I66" s="4" t="n">
        <v>110676.5</v>
      </c>
    </row>
    <row r="67" customFormat="false" ht="15" hidden="false" customHeight="false" outlineLevel="0" collapsed="false">
      <c r="A67" s="4" t="n">
        <v>3300</v>
      </c>
      <c r="B67" s="4" t="n">
        <v>153444.9</v>
      </c>
      <c r="C67" s="4" t="n">
        <v>127304.2</v>
      </c>
      <c r="D67" s="4" t="n">
        <v>91443.2</v>
      </c>
      <c r="E67" s="4" t="n">
        <v>85098</v>
      </c>
      <c r="F67" s="4" t="n">
        <v>180882.6</v>
      </c>
      <c r="G67" s="4" t="n">
        <v>154742</v>
      </c>
      <c r="H67" s="4" t="n">
        <v>118880.9</v>
      </c>
      <c r="I67" s="4" t="n">
        <v>112535.8</v>
      </c>
    </row>
    <row r="68" customFormat="false" ht="15" hidden="false" customHeight="false" outlineLevel="0" collapsed="false">
      <c r="A68" s="4" t="n">
        <v>3350</v>
      </c>
      <c r="B68" s="4" t="n">
        <v>156156.4</v>
      </c>
      <c r="C68" s="4" t="n">
        <v>129776.5</v>
      </c>
      <c r="D68" s="4" t="n">
        <v>93058.4</v>
      </c>
      <c r="E68" s="4" t="n">
        <v>86542.9</v>
      </c>
      <c r="F68" s="4" t="n">
        <v>184009.9</v>
      </c>
      <c r="G68" s="4" t="n">
        <v>157630</v>
      </c>
      <c r="H68" s="4" t="n">
        <v>120911.8</v>
      </c>
      <c r="I68" s="4" t="n">
        <v>114396.3</v>
      </c>
    </row>
    <row r="69" customFormat="false" ht="15" hidden="false" customHeight="false" outlineLevel="0" collapsed="false">
      <c r="A69" s="4" t="n">
        <v>3400</v>
      </c>
      <c r="B69" s="4" t="n">
        <v>158870</v>
      </c>
      <c r="C69" s="4" t="n">
        <v>132255.9</v>
      </c>
      <c r="D69" s="4" t="n">
        <v>94677.7</v>
      </c>
      <c r="E69" s="4" t="n">
        <v>87989.1</v>
      </c>
      <c r="F69" s="4" t="n">
        <v>187139.2</v>
      </c>
      <c r="G69" s="4" t="n">
        <v>160525</v>
      </c>
      <c r="H69" s="4" t="n">
        <v>122946.8</v>
      </c>
      <c r="I69" s="4" t="n">
        <v>116258.2</v>
      </c>
    </row>
    <row r="70" customFormat="false" ht="15" hidden="false" customHeight="false" outlineLevel="0" collapsed="false">
      <c r="A70" s="4" t="n">
        <v>3450</v>
      </c>
      <c r="B70" s="4" t="n">
        <v>161585.4</v>
      </c>
      <c r="C70" s="4" t="n">
        <v>134742.3</v>
      </c>
      <c r="D70" s="4" t="n">
        <v>96300.8</v>
      </c>
      <c r="E70" s="4" t="n">
        <v>89436.5</v>
      </c>
      <c r="F70" s="4" t="n">
        <v>190270.3</v>
      </c>
      <c r="G70" s="4" t="n">
        <v>163427.2</v>
      </c>
      <c r="H70" s="4" t="n">
        <v>124985.7</v>
      </c>
      <c r="I70" s="4" t="n">
        <v>118121.4</v>
      </c>
    </row>
    <row r="71" customFormat="false" ht="15" hidden="false" customHeight="false" outlineLevel="0" collapsed="false">
      <c r="A71" s="4" t="n">
        <v>3500</v>
      </c>
      <c r="B71" s="4" t="n">
        <v>164302.3</v>
      </c>
      <c r="C71" s="4" t="n">
        <v>137235.8</v>
      </c>
      <c r="D71" s="4" t="n">
        <v>97927.6</v>
      </c>
      <c r="E71" s="4" t="n">
        <v>90885.3</v>
      </c>
      <c r="F71" s="4" t="n">
        <v>193402.9</v>
      </c>
      <c r="G71" s="4" t="n">
        <v>166336.4</v>
      </c>
      <c r="H71" s="4" t="n">
        <v>127028.2</v>
      </c>
      <c r="I71" s="4" t="n">
        <v>119985.9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2026-09-29T03:46:42Z</dcterms:created>
  <dc:creator>openpyxl</dc:creator>
  <dc:description/>
  <dc:language>en-US</dc:language>
  <cp:lastModifiedBy/>
  <dcterms:modified xsi:type="dcterms:W3CDTF">2026-09-29T06:46:52Z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